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ОБЪЕКТЫ\Пирушин-Лудинг\Исходники\"/>
    </mc:Choice>
  </mc:AlternateContent>
  <xr:revisionPtr revIDLastSave="0" documentId="8_{F6097E16-6350-4CDE-9585-C5095642120B}" xr6:coauthVersionLast="47" xr6:coauthVersionMax="47" xr10:uidLastSave="{00000000-0000-0000-0000-000000000000}"/>
  <bookViews>
    <workbookView xWindow="-120" yWindow="-120" windowWidth="29040" windowHeight="15840" activeTab="4" xr2:uid="{1EF7E971-4DC4-4F4C-9415-1374C538BE3F}"/>
  </bookViews>
  <sheets>
    <sheet name="Посадка саженцев " sheetId="1" r:id="rId1"/>
    <sheet name="Установка шпалеры" sheetId="2" r:id="rId2"/>
    <sheet name="Уходные работы" sheetId="3" r:id="rId3"/>
    <sheet name="Средства защиты растений" sheetId="4" r:id="rId4"/>
    <sheet name="Уходные Работы 40Га_Проверка" sheetId="5" r:id="rId5"/>
  </sheets>
  <externalReferences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5" l="1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32" i="5" s="1"/>
  <c r="F33" i="5" s="1"/>
  <c r="K29" i="4"/>
  <c r="J29" i="4"/>
  <c r="I29" i="4"/>
  <c r="F29" i="4"/>
  <c r="H29" i="4" s="1"/>
  <c r="D29" i="4"/>
  <c r="G29" i="4" s="1"/>
  <c r="I28" i="4"/>
  <c r="K28" i="4" s="1"/>
  <c r="H28" i="4"/>
  <c r="F28" i="4"/>
  <c r="D28" i="4"/>
  <c r="G28" i="4" s="1"/>
  <c r="I27" i="4"/>
  <c r="K27" i="4" s="1"/>
  <c r="H27" i="4"/>
  <c r="G27" i="4"/>
  <c r="F27" i="4"/>
  <c r="D27" i="4"/>
  <c r="J27" i="4" s="1"/>
  <c r="K26" i="4"/>
  <c r="I26" i="4"/>
  <c r="G26" i="4"/>
  <c r="F26" i="4"/>
  <c r="H26" i="4" s="1"/>
  <c r="D26" i="4"/>
  <c r="J26" i="4" s="1"/>
  <c r="I25" i="4"/>
  <c r="K25" i="4" s="1"/>
  <c r="F25" i="4"/>
  <c r="G25" i="4" s="1"/>
  <c r="D25" i="4"/>
  <c r="J25" i="4" s="1"/>
  <c r="I24" i="4"/>
  <c r="K24" i="4" s="1"/>
  <c r="F24" i="4"/>
  <c r="H24" i="4" s="1"/>
  <c r="D24" i="4"/>
  <c r="J24" i="4" s="1"/>
  <c r="K23" i="4"/>
  <c r="I23" i="4"/>
  <c r="H23" i="4"/>
  <c r="F23" i="4"/>
  <c r="D23" i="4"/>
  <c r="J23" i="4" s="1"/>
  <c r="K22" i="4"/>
  <c r="J22" i="4"/>
  <c r="I22" i="4"/>
  <c r="G22" i="4"/>
  <c r="F22" i="4"/>
  <c r="H22" i="4" s="1"/>
  <c r="D22" i="4"/>
  <c r="I17" i="4"/>
  <c r="K17" i="4" s="1"/>
  <c r="H17" i="4"/>
  <c r="G17" i="4"/>
  <c r="F17" i="4"/>
  <c r="D17" i="4"/>
  <c r="I16" i="4"/>
  <c r="K16" i="4" s="1"/>
  <c r="H16" i="4"/>
  <c r="G16" i="4"/>
  <c r="F16" i="4"/>
  <c r="D16" i="4"/>
  <c r="J16" i="4" s="1"/>
  <c r="K15" i="4"/>
  <c r="I15" i="4"/>
  <c r="G15" i="4"/>
  <c r="F15" i="4"/>
  <c r="H15" i="4" s="1"/>
  <c r="D15" i="4"/>
  <c r="J15" i="4" s="1"/>
  <c r="I14" i="4"/>
  <c r="K14" i="4" s="1"/>
  <c r="F14" i="4"/>
  <c r="G14" i="4" s="1"/>
  <c r="D14" i="4"/>
  <c r="J14" i="4" s="1"/>
  <c r="K13" i="4"/>
  <c r="I13" i="4"/>
  <c r="F13" i="4"/>
  <c r="H13" i="4" s="1"/>
  <c r="D13" i="4"/>
  <c r="J13" i="4" s="1"/>
  <c r="K12" i="4"/>
  <c r="J12" i="4"/>
  <c r="I12" i="4"/>
  <c r="H12" i="4"/>
  <c r="F12" i="4"/>
  <c r="D12" i="4"/>
  <c r="G12" i="4" s="1"/>
  <c r="K11" i="4"/>
  <c r="J11" i="4"/>
  <c r="I11" i="4"/>
  <c r="G11" i="4"/>
  <c r="F11" i="4"/>
  <c r="H11" i="4" s="1"/>
  <c r="I10" i="4"/>
  <c r="K10" i="4" s="1"/>
  <c r="H10" i="4"/>
  <c r="G10" i="4"/>
  <c r="F10" i="4"/>
  <c r="D10" i="4"/>
  <c r="J10" i="4" s="1"/>
  <c r="I9" i="4"/>
  <c r="K9" i="4" s="1"/>
  <c r="G9" i="4"/>
  <c r="F9" i="4"/>
  <c r="H9" i="4" s="1"/>
  <c r="D9" i="4"/>
  <c r="J9" i="4" s="1"/>
  <c r="K8" i="4"/>
  <c r="I8" i="4"/>
  <c r="F8" i="4"/>
  <c r="H8" i="4" s="1"/>
  <c r="D8" i="4"/>
  <c r="J8" i="4" s="1"/>
  <c r="I7" i="4"/>
  <c r="K7" i="4" s="1"/>
  <c r="F7" i="4"/>
  <c r="H7" i="4" s="1"/>
  <c r="D7" i="4"/>
  <c r="J7" i="4" s="1"/>
  <c r="K6" i="4"/>
  <c r="I6" i="4"/>
  <c r="F6" i="4"/>
  <c r="H6" i="4" s="1"/>
  <c r="D6" i="4"/>
  <c r="J6" i="4" s="1"/>
  <c r="E17" i="3"/>
  <c r="F17" i="3" s="1"/>
  <c r="G17" i="3" s="1"/>
  <c r="G23" i="3" s="1"/>
  <c r="F16" i="3"/>
  <c r="G16" i="3" s="1"/>
  <c r="F14" i="3"/>
  <c r="F19" i="3" s="1"/>
  <c r="G19" i="3" s="1"/>
  <c r="E13" i="3"/>
  <c r="F13" i="3" s="1"/>
  <c r="G13" i="3" s="1"/>
  <c r="F12" i="3"/>
  <c r="G12" i="3" s="1"/>
  <c r="F11" i="3"/>
  <c r="G11" i="3" s="1"/>
  <c r="G10" i="3"/>
  <c r="F10" i="3"/>
  <c r="F9" i="3"/>
  <c r="G9" i="3" s="1"/>
  <c r="F8" i="3"/>
  <c r="G8" i="3" s="1"/>
  <c r="F7" i="3"/>
  <c r="G7" i="3" s="1"/>
  <c r="G6" i="3"/>
  <c r="F6" i="3"/>
  <c r="F5" i="3"/>
  <c r="G5" i="3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F16" i="2" s="1"/>
  <c r="G16" i="2" s="1"/>
  <c r="F19" i="2"/>
  <c r="G19" i="2" s="1"/>
  <c r="F18" i="2"/>
  <c r="G18" i="2" s="1"/>
  <c r="F17" i="2"/>
  <c r="G17" i="2" s="1"/>
  <c r="F15" i="2"/>
  <c r="G15" i="2" s="1"/>
  <c r="F5" i="2"/>
  <c r="G5" i="2" s="1"/>
  <c r="G4" i="2" s="1"/>
  <c r="F4" i="2"/>
  <c r="E22" i="1"/>
  <c r="F22" i="1" s="1"/>
  <c r="G22" i="1" s="1"/>
  <c r="F20" i="1"/>
  <c r="G20" i="1" s="1"/>
  <c r="G17" i="1"/>
  <c r="F17" i="1"/>
  <c r="E17" i="1"/>
  <c r="F15" i="1"/>
  <c r="G15" i="1" s="1"/>
  <c r="F14" i="1"/>
  <c r="G14" i="1" s="1"/>
  <c r="F12" i="1"/>
  <c r="G12" i="1" s="1"/>
  <c r="F11" i="1"/>
  <c r="G11" i="1" s="1"/>
  <c r="E6" i="1"/>
  <c r="F6" i="1" s="1"/>
  <c r="F3" i="1"/>
  <c r="F21" i="1" s="1"/>
  <c r="F1" i="1"/>
  <c r="F13" i="1" s="1"/>
  <c r="G13" i="1" s="1"/>
  <c r="H18" i="4" l="1"/>
  <c r="H19" i="4" s="1"/>
  <c r="K30" i="4"/>
  <c r="K31" i="4" s="1"/>
  <c r="K18" i="4"/>
  <c r="K19" i="4" s="1"/>
  <c r="G7" i="4"/>
  <c r="J17" i="4"/>
  <c r="J18" i="4" s="1"/>
  <c r="J28" i="4"/>
  <c r="J30" i="4" s="1"/>
  <c r="G6" i="4"/>
  <c r="G13" i="4"/>
  <c r="H14" i="4"/>
  <c r="G24" i="4"/>
  <c r="H25" i="4"/>
  <c r="H30" i="4" s="1"/>
  <c r="H31" i="4" s="1"/>
  <c r="G8" i="4"/>
  <c r="G23" i="4"/>
  <c r="G30" i="4" s="1"/>
  <c r="G31" i="4" s="1"/>
  <c r="G14" i="3"/>
  <c r="G21" i="3" s="1"/>
  <c r="F20" i="3"/>
  <c r="G20" i="3" s="1"/>
  <c r="F21" i="3"/>
  <c r="F28" i="2"/>
  <c r="G28" i="2"/>
  <c r="G20" i="2"/>
  <c r="G6" i="1"/>
  <c r="F5" i="1"/>
  <c r="G5" i="1" s="1"/>
  <c r="G21" i="1"/>
  <c r="F23" i="1"/>
  <c r="G23" i="1" s="1"/>
  <c r="G18" i="4" l="1"/>
  <c r="G19" i="4" s="1"/>
  <c r="G26" i="3"/>
  <c r="G24" i="3"/>
  <c r="F16" i="1"/>
  <c r="G16" i="1" s="1"/>
  <c r="G24" i="1" s="1"/>
  <c r="G25" i="1" s="1"/>
</calcChain>
</file>

<file path=xl/sharedStrings.xml><?xml version="1.0" encoding="utf-8"?>
<sst xmlns="http://schemas.openxmlformats.org/spreadsheetml/2006/main" count="244" uniqueCount="176">
  <si>
    <t>га</t>
  </si>
  <si>
    <t>Баланс земель</t>
  </si>
  <si>
    <t>Курс Евро</t>
  </si>
  <si>
    <t>площадь закладки</t>
  </si>
  <si>
    <t>саженцы</t>
  </si>
  <si>
    <t>1.</t>
  </si>
  <si>
    <r>
      <t>Закладка виноградных насаждений (</t>
    </r>
    <r>
      <rPr>
        <b/>
        <i/>
        <sz val="12"/>
        <color indexed="8"/>
        <rFont val="Times New Roman"/>
        <family val="1"/>
        <charset val="204"/>
      </rPr>
      <t>схема посадки 3*1,2)</t>
    </r>
  </si>
  <si>
    <t>Единица изм.</t>
  </si>
  <si>
    <t>Стоимость за единицу (с НДС), руб.</t>
  </si>
  <si>
    <t>2024 год</t>
  </si>
  <si>
    <t>ИТОГО</t>
  </si>
  <si>
    <t>1.1.</t>
  </si>
  <si>
    <t>Подготовка почвы под закладку</t>
  </si>
  <si>
    <t>1.1.1</t>
  </si>
  <si>
    <t>Внесение минеральных удобрений</t>
  </si>
  <si>
    <t>Подвоз минеральных удобрений</t>
  </si>
  <si>
    <t>Измельчение и смешивание минеральных удобрений</t>
  </si>
  <si>
    <t>Поверхностное внесение минеральных удобрений (4-х кратное)</t>
  </si>
  <si>
    <t>Стомость минеральных удобрений</t>
  </si>
  <si>
    <t>1.1.2</t>
  </si>
  <si>
    <t>Плантажная вспашка</t>
  </si>
  <si>
    <t>1.1.3</t>
  </si>
  <si>
    <t>Дискование почвы в 2-х направлениях</t>
  </si>
  <si>
    <t>1.1.4</t>
  </si>
  <si>
    <t>Культивация почвы в 2-х направлениях</t>
  </si>
  <si>
    <t>1.1.5</t>
  </si>
  <si>
    <t xml:space="preserve">Боронование почвы в 2-х направлениях </t>
  </si>
  <si>
    <t>1.1.6</t>
  </si>
  <si>
    <t>Выравнивание почвы планировщиком в 2-х направлениях</t>
  </si>
  <si>
    <t>1.2.</t>
  </si>
  <si>
    <t>Посадка неукрывного виноградника</t>
  </si>
  <si>
    <t>1.2.1</t>
  </si>
  <si>
    <t>Механическая разбивка участка</t>
  </si>
  <si>
    <t>24 руб за 1 куст</t>
  </si>
  <si>
    <t>1.2.2</t>
  </si>
  <si>
    <t>Подвоз посадочного материала</t>
  </si>
  <si>
    <t>1.2.3</t>
  </si>
  <si>
    <t>Посадка посадочной машиной</t>
  </si>
  <si>
    <t>1.2.4</t>
  </si>
  <si>
    <t>Подвоз воды для полива саженцев после посадки машиной</t>
  </si>
  <si>
    <t>т</t>
  </si>
  <si>
    <t>10л под куст</t>
  </si>
  <si>
    <t>1.2.5</t>
  </si>
  <si>
    <t>Полив саженцев после посадки (в т.ч.ст-ть воды)</t>
  </si>
  <si>
    <t>шт</t>
  </si>
  <si>
    <t>1.2.6</t>
  </si>
  <si>
    <t>Ручное окучивание после посадки саженцев</t>
  </si>
  <si>
    <t>15 руб. за 1 куст</t>
  </si>
  <si>
    <t>1.2.7</t>
  </si>
  <si>
    <t>Стоимость посадочного материала</t>
  </si>
  <si>
    <t>ИТОГО:</t>
  </si>
  <si>
    <t>шт саженцев</t>
  </si>
  <si>
    <t>2.</t>
  </si>
  <si>
    <r>
      <t>Установка шпалерной конструкции</t>
    </r>
    <r>
      <rPr>
        <u/>
        <sz val="12"/>
        <color indexed="8"/>
        <rFont val="Times New Roman"/>
        <family val="1"/>
        <charset val="204"/>
      </rPr>
      <t xml:space="preserve"> </t>
    </r>
    <r>
      <rPr>
        <i/>
        <sz val="12"/>
        <color indexed="8"/>
        <rFont val="Times New Roman"/>
        <family val="1"/>
        <charset val="204"/>
      </rPr>
      <t>(схема посадки 3*1,2)</t>
    </r>
  </si>
  <si>
    <t>единица изм.</t>
  </si>
  <si>
    <t>стоимость за единицу (с НДС), руб.</t>
  </si>
  <si>
    <t>2.1.</t>
  </si>
  <si>
    <t xml:space="preserve">Установка шпалеры, в том числе: </t>
  </si>
  <si>
    <t xml:space="preserve">Установка шпалеры </t>
  </si>
  <si>
    <t>Установка металлических крайних стоек</t>
  </si>
  <si>
    <t>Установка якорей с натяжителями</t>
  </si>
  <si>
    <t>Установка замков к металлическим крайним стойкам</t>
  </si>
  <si>
    <t>Установка фиксаторов к приштамбовым колышкам</t>
  </si>
  <si>
    <t>Установка натяжителей к крайним стойкам</t>
  </si>
  <si>
    <t>Установка метталических промежуточных кольев</t>
  </si>
  <si>
    <t xml:space="preserve">Механизированное растягивание проволоки </t>
  </si>
  <si>
    <t>диаментр 2,5 мм - 1 ряд</t>
  </si>
  <si>
    <t>диаметр 1,6 мм 4 ряда</t>
  </si>
  <si>
    <t>Установка приштамбового кола</t>
  </si>
  <si>
    <t>2.2.</t>
  </si>
  <si>
    <t>Стоимость материалов (с доставкой):</t>
  </si>
  <si>
    <t>Металлические крайние стойки</t>
  </si>
  <si>
    <t>2,4% от кол-ва</t>
  </si>
  <si>
    <t>Металлические промежуточные колья (через 6м)</t>
  </si>
  <si>
    <t>Приштамбовые колья</t>
  </si>
  <si>
    <t>Якоря</t>
  </si>
  <si>
    <t>Комплект - трос и замки</t>
  </si>
  <si>
    <t>Проволока шпалерная (диаметр 2,5 мм)</t>
  </si>
  <si>
    <t>кг</t>
  </si>
  <si>
    <t>1 м -0,04 кг</t>
  </si>
  <si>
    <t>Проволока шпалерная (диаметр 1,8 мм)</t>
  </si>
  <si>
    <t>1м -0,02 кг</t>
  </si>
  <si>
    <t>Замок для проволоки (диаментр 2,5 мм)</t>
  </si>
  <si>
    <t>Замок для проволоки (диаментр 1,8 мм)</t>
  </si>
  <si>
    <t>Фиксатор стальной для приштамбового кола</t>
  </si>
  <si>
    <t>ВСЕГО</t>
  </si>
  <si>
    <t>3.</t>
  </si>
  <si>
    <t>Уходные работы за виноградником</t>
  </si>
  <si>
    <t>2025 год</t>
  </si>
  <si>
    <t>3.1.</t>
  </si>
  <si>
    <t>1-й год после посадки</t>
  </si>
  <si>
    <t>Доокучивание саженцев</t>
  </si>
  <si>
    <t>куст</t>
  </si>
  <si>
    <t>Разокучивание саженцев</t>
  </si>
  <si>
    <t>Ручное рыхление почвы в рядах (4-х кратное)</t>
  </si>
  <si>
    <t>Подвоз воды для полива саженцев (2-х кратный)</t>
  </si>
  <si>
    <t>Механический полив саженцев (2-х кратный)</t>
  </si>
  <si>
    <t>Катаровка</t>
  </si>
  <si>
    <t xml:space="preserve">Прищипывание верхних побегов </t>
  </si>
  <si>
    <t>Обломка побегов</t>
  </si>
  <si>
    <t>Внесение минеральных удобрений (в т.ч.стоиомость удобрений)</t>
  </si>
  <si>
    <t>Поверхностное внесение минеральных удобрений (2-х кратное)</t>
  </si>
  <si>
    <t>Внесение пестицидов (в том числе стоиомость пестицидов)</t>
  </si>
  <si>
    <t xml:space="preserve">Приготовление раствора пестицидов </t>
  </si>
  <si>
    <t>Подвоз раствора пестицидов</t>
  </si>
  <si>
    <t>Опрыскивание насаждений при расходе рабочего раствора 300 л/га (6-ти кратн)</t>
  </si>
  <si>
    <t>Средства защиты растений  по годам для ЗАО "Р"</t>
  </si>
  <si>
    <t>№ п.п.</t>
  </si>
  <si>
    <t>Средства защиты растений</t>
  </si>
  <si>
    <t>цена кг.,л.</t>
  </si>
  <si>
    <t>расход на  1 га/за год</t>
  </si>
  <si>
    <r>
      <rPr>
        <b/>
        <sz val="11"/>
        <color theme="1"/>
        <rFont val="Calibri"/>
        <family val="2"/>
        <charset val="204"/>
        <scheme val="minor"/>
      </rPr>
      <t>2024</t>
    </r>
    <r>
      <rPr>
        <b/>
        <sz val="9"/>
        <color theme="1"/>
        <rFont val="Calibri"/>
        <family val="2"/>
        <charset val="204"/>
        <scheme val="minor"/>
      </rPr>
      <t xml:space="preserve"> г., 200</t>
    </r>
    <r>
      <rPr>
        <b/>
        <sz val="9"/>
        <color rgb="FFFF0000"/>
        <rFont val="Calibri"/>
        <family val="2"/>
        <charset val="204"/>
        <scheme val="minor"/>
      </rPr>
      <t xml:space="preserve"> га</t>
    </r>
  </si>
  <si>
    <t>Стрес.цена</t>
  </si>
  <si>
    <t>всего СЗР кг,л.</t>
  </si>
  <si>
    <t>Стрес.ст-ть</t>
  </si>
  <si>
    <t>Сумма</t>
  </si>
  <si>
    <t>Полирам</t>
  </si>
  <si>
    <t>Тиовит Джет</t>
  </si>
  <si>
    <t>Купроксат</t>
  </si>
  <si>
    <t>Манкоцеб</t>
  </si>
  <si>
    <t>Фалькон</t>
  </si>
  <si>
    <t>Пергадо Зокс</t>
  </si>
  <si>
    <t>Динали</t>
  </si>
  <si>
    <t>Вертимек</t>
  </si>
  <si>
    <t>Свитч</t>
  </si>
  <si>
    <t>Авант</t>
  </si>
  <si>
    <t>Делан</t>
  </si>
  <si>
    <t>Волиам Флекси</t>
  </si>
  <si>
    <t>Итого СЗР:</t>
  </si>
  <si>
    <t>на 1 га</t>
  </si>
  <si>
    <t>Удобрения для виноградных насаждений по годам ЗАО "Агрофирма Родина"</t>
  </si>
  <si>
    <t>Вуксал Кальций</t>
  </si>
  <si>
    <t>Вуксал Аминокал</t>
  </si>
  <si>
    <t>Вуксал Микроплант</t>
  </si>
  <si>
    <t>Вуксал Борон</t>
  </si>
  <si>
    <t>Амко Универсал</t>
  </si>
  <si>
    <t>Амко Урожай</t>
  </si>
  <si>
    <t>Амко Рост</t>
  </si>
  <si>
    <t>Диаммофоска</t>
  </si>
  <si>
    <t>Итого:</t>
  </si>
  <si>
    <t>Расчет стоимости поуходных мероприятий за виноградниками</t>
  </si>
  <si>
    <t>по ЗАО "Агрофирма "Р"</t>
  </si>
  <si>
    <t>40,9841 га</t>
  </si>
  <si>
    <t>(наименование заявителя)</t>
  </si>
  <si>
    <t>Объект: Виноградники</t>
  </si>
  <si>
    <t>Участок №___, Кадастровый номер участка  23:15:0804000:231 - 40,9841 га (113900 саженцев), Схема посадки 3,0 х 1,2, Сорт __________________</t>
  </si>
  <si>
    <t>плодоносящие</t>
  </si>
  <si>
    <t xml:space="preserve"> </t>
  </si>
  <si>
    <t>№№ п/п</t>
  </si>
  <si>
    <t>Наименование работ</t>
  </si>
  <si>
    <t>Единица измере-ния</t>
  </si>
  <si>
    <t>Выполнено работ</t>
  </si>
  <si>
    <t>Срок выполнения работ</t>
  </si>
  <si>
    <t>объём</t>
  </si>
  <si>
    <t>Цена (рублей, копеек)</t>
  </si>
  <si>
    <t>Сумма (рублей, копеек)</t>
  </si>
  <si>
    <t xml:space="preserve">Подвязка </t>
  </si>
  <si>
    <t>1000 кустов</t>
  </si>
  <si>
    <t>Зоводка побегов за проволоку</t>
  </si>
  <si>
    <t>Дискование междурядий при ширине междурядий 3,0 м</t>
  </si>
  <si>
    <t>1 га</t>
  </si>
  <si>
    <t>Культивация междурядий и обработка приштамбовых полос 6-ти кратн.</t>
  </si>
  <si>
    <t xml:space="preserve">1 га </t>
  </si>
  <si>
    <t>Ручное рыхление почвы в рядах при средней засоренности</t>
  </si>
  <si>
    <t>Подвоз воды для полива всех саженцев</t>
  </si>
  <si>
    <t>1т</t>
  </si>
  <si>
    <t>Полив всех саженцев при помощи гидробура 2-х кратн.</t>
  </si>
  <si>
    <t>Обрезка</t>
  </si>
  <si>
    <t>Подвоз рабочего раствора пестицидов</t>
  </si>
  <si>
    <t>Опрыскивание насаждений при расходе рабочего раствора 300л/га 6-ти кратн.</t>
  </si>
  <si>
    <t>Подвоз рабочего раствора минеральных удобрений</t>
  </si>
  <si>
    <t>Опрыскивание насаждений при расходе рабочего раствора 300л/га 4-ти кратн.</t>
  </si>
  <si>
    <t>Вспашка междурядий, межклеточных дорог, разворотных полос</t>
  </si>
  <si>
    <t>Стоимость пестицидов</t>
  </si>
  <si>
    <t>Стоимость удобрений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</si>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</sst>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\ _₽_-;\-* #,##0\ _₽_-;_-* &quot;-&quot;??\ _₽_-;_-@_-"/>
    <numFmt numFmtId="165" formatCode="_-* #,##0.0\ _₽_-;\-* #,##0.0\ _₽_-;_-* &quot;-&quot;??\ _₽_-;_-@_-"/>
    <numFmt numFmtId="166" formatCode="_-* #,##0.0\ _₽_-;\-* #,##0.0\ _₽_-;_-* &quot;-&quot;?\ _₽_-;_-@_-"/>
    <numFmt numFmtId="167" formatCode="0.000"/>
    <numFmt numFmtId="168" formatCode="#,##0.00_ ;\-#,##0.00\ 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u/>
      <sz val="12"/>
      <color indexed="8"/>
      <name val="Times New Roman"/>
      <family val="1"/>
      <charset val="204"/>
    </font>
    <font>
      <b/>
      <i/>
      <u/>
      <sz val="12"/>
      <color indexed="8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8"/>
      <color theme="1"/>
      <name val="Arial"/>
      <family val="2"/>
    </font>
    <font>
      <sz val="8"/>
      <color indexed="8"/>
      <name val="Times New Roman"/>
      <family val="1"/>
      <charset val="204"/>
    </font>
    <font>
      <sz val="10"/>
      <name val="Arial"/>
      <family val="1"/>
      <charset val="1"/>
    </font>
    <font>
      <sz val="12"/>
      <name val="Arial"/>
      <family val="1"/>
      <charset val="1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u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1"/>
    </font>
    <font>
      <sz val="14"/>
      <color indexed="8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21">
    <xf numFmtId="0" fontId="0" fillId="0" borderId="0" xfId="0"/>
    <xf numFmtId="49" fontId="3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wrapText="1"/>
    </xf>
    <xf numFmtId="4" fontId="4" fillId="0" borderId="0" xfId="0" applyNumberFormat="1" applyFont="1" applyAlignment="1">
      <alignment wrapText="1"/>
    </xf>
    <xf numFmtId="0" fontId="4" fillId="0" borderId="0" xfId="0" applyFont="1"/>
    <xf numFmtId="4" fontId="4" fillId="0" borderId="0" xfId="0" applyNumberFormat="1" applyFont="1"/>
    <xf numFmtId="49" fontId="4" fillId="0" borderId="0" xfId="0" applyNumberFormat="1" applyFont="1"/>
    <xf numFmtId="4" fontId="4" fillId="2" borderId="0" xfId="0" applyNumberFormat="1" applyFont="1" applyFill="1" applyAlignment="1">
      <alignment wrapText="1"/>
    </xf>
    <xf numFmtId="3" fontId="4" fillId="0" borderId="0" xfId="0" applyNumberFormat="1" applyFont="1" applyAlignment="1">
      <alignment wrapText="1"/>
    </xf>
    <xf numFmtId="49" fontId="5" fillId="0" borderId="1" xfId="0" applyNumberFormat="1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4" fontId="7" fillId="0" borderId="1" xfId="0" applyNumberFormat="1" applyFont="1" applyBorder="1" applyAlignment="1">
      <alignment wrapText="1"/>
    </xf>
    <xf numFmtId="4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/>
    <xf numFmtId="49" fontId="6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wrapText="1"/>
    </xf>
    <xf numFmtId="4" fontId="8" fillId="0" borderId="1" xfId="0" applyNumberFormat="1" applyFont="1" applyBorder="1" applyAlignment="1">
      <alignment wrapText="1"/>
    </xf>
    <xf numFmtId="4" fontId="7" fillId="4" borderId="1" xfId="0" applyNumberFormat="1" applyFont="1" applyFill="1" applyBorder="1"/>
    <xf numFmtId="4" fontId="8" fillId="0" borderId="0" xfId="0" applyNumberFormat="1" applyFont="1"/>
    <xf numFmtId="0" fontId="8" fillId="0" borderId="0" xfId="0" applyFont="1"/>
    <xf numFmtId="49" fontId="9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4" fontId="8" fillId="4" borderId="1" xfId="0" applyNumberFormat="1" applyFont="1" applyFill="1" applyBorder="1"/>
    <xf numFmtId="49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4" fontId="11" fillId="0" borderId="1" xfId="0" applyNumberFormat="1" applyFont="1" applyBorder="1" applyAlignment="1">
      <alignment wrapText="1"/>
    </xf>
    <xf numFmtId="0" fontId="11" fillId="4" borderId="1" xfId="0" applyFont="1" applyFill="1" applyBorder="1"/>
    <xf numFmtId="0" fontId="11" fillId="0" borderId="0" xfId="0" applyFont="1"/>
    <xf numFmtId="4" fontId="8" fillId="0" borderId="2" xfId="0" applyNumberFormat="1" applyFont="1" applyBorder="1" applyAlignment="1">
      <alignment horizontal="center" wrapText="1"/>
    </xf>
    <xf numFmtId="4" fontId="8" fillId="0" borderId="2" xfId="0" applyNumberFormat="1" applyFont="1" applyBorder="1" applyAlignment="1">
      <alignment horizontal="right" wrapText="1"/>
    </xf>
    <xf numFmtId="4" fontId="8" fillId="0" borderId="3" xfId="0" applyNumberFormat="1" applyFont="1" applyBorder="1" applyAlignment="1">
      <alignment horizontal="center" wrapText="1"/>
    </xf>
    <xf numFmtId="4" fontId="8" fillId="0" borderId="3" xfId="0" applyNumberFormat="1" applyFont="1" applyBorder="1" applyAlignment="1">
      <alignment horizontal="right" wrapText="1"/>
    </xf>
    <xf numFmtId="0" fontId="8" fillId="4" borderId="1" xfId="0" applyFont="1" applyFill="1" applyBorder="1"/>
    <xf numFmtId="4" fontId="8" fillId="0" borderId="4" xfId="0" applyNumberFormat="1" applyFont="1" applyBorder="1" applyAlignment="1">
      <alignment horizontal="center" wrapText="1"/>
    </xf>
    <xf numFmtId="4" fontId="8" fillId="0" borderId="4" xfId="0" applyNumberFormat="1" applyFont="1" applyBorder="1" applyAlignment="1">
      <alignment horizontal="right" wrapText="1"/>
    </xf>
    <xf numFmtId="49" fontId="12" fillId="0" borderId="1" xfId="0" applyNumberFormat="1" applyFont="1" applyBorder="1" applyAlignment="1">
      <alignment wrapText="1"/>
    </xf>
    <xf numFmtId="0" fontId="13" fillId="0" borderId="1" xfId="0" applyFont="1" applyBorder="1" applyAlignment="1">
      <alignment wrapText="1"/>
    </xf>
    <xf numFmtId="4" fontId="14" fillId="0" borderId="1" xfId="0" applyNumberFormat="1" applyFont="1" applyBorder="1" applyAlignment="1">
      <alignment wrapText="1"/>
    </xf>
    <xf numFmtId="4" fontId="14" fillId="4" borderId="1" xfId="0" applyNumberFormat="1" applyFont="1" applyFill="1" applyBorder="1"/>
    <xf numFmtId="0" fontId="14" fillId="0" borderId="0" xfId="0" applyFont="1"/>
    <xf numFmtId="49" fontId="8" fillId="0" borderId="0" xfId="0" applyNumberFormat="1" applyFont="1"/>
    <xf numFmtId="4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4" fontId="7" fillId="3" borderId="1" xfId="0" applyNumberFormat="1" applyFont="1" applyFill="1" applyBorder="1" applyAlignment="1">
      <alignment wrapText="1"/>
    </xf>
    <xf numFmtId="16" fontId="9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4" fontId="8" fillId="3" borderId="1" xfId="0" applyNumberFormat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11" fillId="3" borderId="1" xfId="0" applyNumberFormat="1" applyFont="1" applyFill="1" applyBorder="1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4" fontId="11" fillId="0" borderId="0" xfId="0" applyNumberFormat="1" applyFont="1" applyAlignment="1">
      <alignment wrapText="1"/>
    </xf>
    <xf numFmtId="0" fontId="14" fillId="0" borderId="1" xfId="0" applyFont="1" applyBorder="1" applyAlignment="1">
      <alignment wrapText="1"/>
    </xf>
    <xf numFmtId="4" fontId="14" fillId="3" borderId="1" xfId="0" applyNumberFormat="1" applyFont="1" applyFill="1" applyBorder="1" applyAlignment="1">
      <alignment wrapText="1"/>
    </xf>
    <xf numFmtId="0" fontId="14" fillId="0" borderId="0" xfId="0" applyFont="1" applyAlignment="1">
      <alignment wrapText="1"/>
    </xf>
    <xf numFmtId="3" fontId="8" fillId="0" borderId="0" xfId="0" applyNumberFormat="1" applyFont="1"/>
    <xf numFmtId="4" fontId="7" fillId="4" borderId="1" xfId="0" applyNumberFormat="1" applyFont="1" applyFill="1" applyBorder="1" applyAlignment="1">
      <alignment wrapText="1"/>
    </xf>
    <xf numFmtId="0" fontId="7" fillId="4" borderId="1" xfId="0" applyFont="1" applyFill="1" applyBorder="1"/>
    <xf numFmtId="0" fontId="8" fillId="0" borderId="1" xfId="0" applyFont="1" applyBorder="1"/>
    <xf numFmtId="4" fontId="8" fillId="0" borderId="1" xfId="0" applyNumberFormat="1" applyFont="1" applyBorder="1"/>
    <xf numFmtId="0" fontId="11" fillId="0" borderId="1" xfId="0" applyFont="1" applyBorder="1"/>
    <xf numFmtId="4" fontId="11" fillId="0" borderId="1" xfId="0" applyNumberFormat="1" applyFont="1" applyBorder="1"/>
    <xf numFmtId="0" fontId="7" fillId="0" borderId="1" xfId="0" applyFont="1" applyBorder="1"/>
    <xf numFmtId="4" fontId="7" fillId="0" borderId="1" xfId="0" applyNumberFormat="1" applyFont="1" applyBorder="1"/>
    <xf numFmtId="43" fontId="8" fillId="0" borderId="0" xfId="1" applyFont="1"/>
    <xf numFmtId="0" fontId="16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5" borderId="20" xfId="0" applyFill="1" applyBorder="1" applyAlignment="1">
      <alignment vertical="center"/>
    </xf>
    <xf numFmtId="0" fontId="0" fillId="0" borderId="20" xfId="0" applyBorder="1" applyAlignment="1">
      <alignment vertical="center"/>
    </xf>
    <xf numFmtId="164" fontId="19" fillId="0" borderId="19" xfId="1" applyNumberFormat="1" applyFont="1" applyBorder="1" applyAlignment="1">
      <alignment vertical="center"/>
    </xf>
    <xf numFmtId="164" fontId="19" fillId="5" borderId="21" xfId="1" applyNumberFormat="1" applyFont="1" applyFill="1" applyBorder="1" applyAlignment="1">
      <alignment vertical="center"/>
    </xf>
    <xf numFmtId="165" fontId="19" fillId="2" borderId="22" xfId="1" applyNumberFormat="1" applyFont="1" applyFill="1" applyBorder="1" applyAlignment="1">
      <alignment vertical="center"/>
    </xf>
    <xf numFmtId="164" fontId="19" fillId="0" borderId="23" xfId="1" applyNumberFormat="1" applyFont="1" applyBorder="1" applyAlignment="1">
      <alignment vertical="center"/>
    </xf>
    <xf numFmtId="165" fontId="19" fillId="2" borderId="20" xfId="1" applyNumberFormat="1" applyFont="1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25" xfId="0" applyBorder="1" applyAlignment="1">
      <alignment vertical="center"/>
    </xf>
    <xf numFmtId="165" fontId="19" fillId="2" borderId="26" xfId="1" applyNumberFormat="1" applyFont="1" applyFill="1" applyBorder="1" applyAlignment="1">
      <alignment vertical="center"/>
    </xf>
    <xf numFmtId="165" fontId="19" fillId="2" borderId="25" xfId="1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0" borderId="28" xfId="0" applyBorder="1" applyAlignment="1">
      <alignment vertical="center"/>
    </xf>
    <xf numFmtId="165" fontId="19" fillId="2" borderId="29" xfId="1" applyNumberFormat="1" applyFont="1" applyFill="1" applyBorder="1" applyAlignment="1">
      <alignment vertical="center"/>
    </xf>
    <xf numFmtId="165" fontId="19" fillId="2" borderId="28" xfId="1" applyNumberFormat="1" applyFont="1" applyFill="1" applyBorder="1" applyAlignment="1">
      <alignment vertical="center"/>
    </xf>
    <xf numFmtId="0" fontId="0" fillId="0" borderId="30" xfId="0" applyBorder="1"/>
    <xf numFmtId="0" fontId="20" fillId="2" borderId="31" xfId="0" applyFont="1" applyFill="1" applyBorder="1" applyAlignment="1">
      <alignment vertical="center"/>
    </xf>
    <xf numFmtId="0" fontId="21" fillId="0" borderId="31" xfId="0" applyFont="1" applyBorder="1" applyAlignment="1">
      <alignment vertical="center"/>
    </xf>
    <xf numFmtId="0" fontId="21" fillId="0" borderId="32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164" fontId="20" fillId="5" borderId="33" xfId="0" applyNumberFormat="1" applyFont="1" applyFill="1" applyBorder="1" applyAlignment="1">
      <alignment vertical="center"/>
    </xf>
    <xf numFmtId="165" fontId="22" fillId="2" borderId="34" xfId="1" applyNumberFormat="1" applyFont="1" applyFill="1" applyBorder="1" applyAlignment="1">
      <alignment vertical="center"/>
    </xf>
    <xf numFmtId="0" fontId="21" fillId="0" borderId="35" xfId="0" applyFont="1" applyBorder="1" applyAlignment="1">
      <alignment vertical="center"/>
    </xf>
    <xf numFmtId="164" fontId="17" fillId="5" borderId="21" xfId="1" applyNumberFormat="1" applyFont="1" applyFill="1" applyBorder="1" applyAlignment="1">
      <alignment vertical="center"/>
    </xf>
    <xf numFmtId="165" fontId="22" fillId="2" borderId="32" xfId="1" applyNumberFormat="1" applyFont="1" applyFill="1" applyBorder="1" applyAlignment="1">
      <alignment vertical="center"/>
    </xf>
    <xf numFmtId="0" fontId="0" fillId="6" borderId="11" xfId="0" applyFill="1" applyBorder="1"/>
    <xf numFmtId="0" fontId="2" fillId="6" borderId="12" xfId="0" applyFont="1" applyFill="1" applyBorder="1"/>
    <xf numFmtId="0" fontId="0" fillId="6" borderId="12" xfId="0" applyFill="1" applyBorder="1"/>
    <xf numFmtId="0" fontId="19" fillId="6" borderId="12" xfId="0" applyFont="1" applyFill="1" applyBorder="1"/>
    <xf numFmtId="164" fontId="19" fillId="6" borderId="12" xfId="0" applyNumberFormat="1" applyFont="1" applyFill="1" applyBorder="1"/>
    <xf numFmtId="166" fontId="23" fillId="6" borderId="12" xfId="0" applyNumberFormat="1" applyFont="1" applyFill="1" applyBorder="1"/>
    <xf numFmtId="0" fontId="16" fillId="0" borderId="7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5" borderId="25" xfId="0" applyFill="1" applyBorder="1" applyAlignment="1">
      <alignment wrapText="1"/>
    </xf>
    <xf numFmtId="0" fontId="21" fillId="3" borderId="37" xfId="0" applyFont="1" applyFill="1" applyBorder="1"/>
    <xf numFmtId="0" fontId="21" fillId="7" borderId="9" xfId="0" applyFont="1" applyFill="1" applyBorder="1"/>
    <xf numFmtId="0" fontId="21" fillId="0" borderId="38" xfId="0" applyFont="1" applyBorder="1"/>
    <xf numFmtId="164" fontId="21" fillId="7" borderId="9" xfId="1" applyNumberFormat="1" applyFont="1" applyFill="1" applyBorder="1"/>
    <xf numFmtId="165" fontId="21" fillId="2" borderId="39" xfId="1" applyNumberFormat="1" applyFont="1" applyFill="1" applyBorder="1"/>
    <xf numFmtId="165" fontId="21" fillId="2" borderId="38" xfId="1" applyNumberFormat="1" applyFont="1" applyFill="1" applyBorder="1"/>
    <xf numFmtId="0" fontId="21" fillId="3" borderId="24" xfId="0" applyFont="1" applyFill="1" applyBorder="1"/>
    <xf numFmtId="0" fontId="21" fillId="0" borderId="25" xfId="0" applyFont="1" applyBorder="1"/>
    <xf numFmtId="165" fontId="21" fillId="2" borderId="26" xfId="1" applyNumberFormat="1" applyFont="1" applyFill="1" applyBorder="1"/>
    <xf numFmtId="165" fontId="21" fillId="2" borderId="25" xfId="1" applyNumberFormat="1" applyFont="1" applyFill="1" applyBorder="1"/>
    <xf numFmtId="0" fontId="0" fillId="5" borderId="25" xfId="0" applyFill="1" applyBorder="1"/>
    <xf numFmtId="0" fontId="2" fillId="5" borderId="25" xfId="0" applyFont="1" applyFill="1" applyBorder="1"/>
    <xf numFmtId="0" fontId="21" fillId="0" borderId="14" xfId="0" applyFont="1" applyBorder="1"/>
    <xf numFmtId="0" fontId="21" fillId="0" borderId="15" xfId="0" applyFont="1" applyBorder="1"/>
    <xf numFmtId="0" fontId="21" fillId="0" borderId="18" xfId="0" applyFont="1" applyBorder="1"/>
    <xf numFmtId="164" fontId="20" fillId="7" borderId="15" xfId="0" applyNumberFormat="1" applyFont="1" applyFill="1" applyBorder="1"/>
    <xf numFmtId="165" fontId="22" fillId="2" borderId="16" xfId="1" applyNumberFormat="1" applyFont="1" applyFill="1" applyBorder="1"/>
    <xf numFmtId="0" fontId="25" fillId="0" borderId="17" xfId="0" applyFont="1" applyBorder="1"/>
    <xf numFmtId="164" fontId="25" fillId="7" borderId="15" xfId="0" applyNumberFormat="1" applyFont="1" applyFill="1" applyBorder="1"/>
    <xf numFmtId="165" fontId="22" fillId="2" borderId="18" xfId="1" applyNumberFormat="1" applyFont="1" applyFill="1" applyBorder="1"/>
    <xf numFmtId="0" fontId="0" fillId="5" borderId="40" xfId="0" applyFill="1" applyBorder="1" applyAlignment="1">
      <alignment wrapText="1"/>
    </xf>
    <xf numFmtId="164" fontId="0" fillId="0" borderId="0" xfId="0" applyNumberFormat="1"/>
    <xf numFmtId="166" fontId="0" fillId="0" borderId="0" xfId="0" applyNumberFormat="1"/>
    <xf numFmtId="0" fontId="26" fillId="0" borderId="0" xfId="0" applyFont="1"/>
    <xf numFmtId="0" fontId="9" fillId="0" borderId="0" xfId="2" applyFont="1" applyAlignment="1">
      <alignment horizontal="center" wrapText="1"/>
    </xf>
    <xf numFmtId="0" fontId="9" fillId="0" borderId="0" xfId="2" applyFont="1" applyAlignment="1">
      <alignment horizontal="center" wrapText="1"/>
    </xf>
    <xf numFmtId="0" fontId="1" fillId="0" borderId="0" xfId="2" applyAlignment="1">
      <alignment horizontal="center" vertical="center" wrapText="1"/>
    </xf>
    <xf numFmtId="0" fontId="12" fillId="0" borderId="0" xfId="2" applyFont="1" applyAlignment="1">
      <alignment horizontal="center" wrapText="1"/>
    </xf>
    <xf numFmtId="0" fontId="12" fillId="0" borderId="0" xfId="2" applyFont="1" applyAlignment="1">
      <alignment horizontal="center" wrapText="1"/>
    </xf>
    <xf numFmtId="0" fontId="27" fillId="0" borderId="0" xfId="2" applyFont="1" applyAlignment="1">
      <alignment horizontal="center" vertical="top" wrapText="1"/>
    </xf>
    <xf numFmtId="0" fontId="27" fillId="0" borderId="0" xfId="2" applyFont="1" applyAlignment="1">
      <alignment horizontal="center" vertical="top" wrapText="1"/>
    </xf>
    <xf numFmtId="0" fontId="9" fillId="0" borderId="0" xfId="2" applyFont="1" applyAlignment="1">
      <alignment vertical="center" wrapText="1"/>
    </xf>
    <xf numFmtId="0" fontId="28" fillId="0" borderId="0" xfId="2" applyFont="1" applyAlignment="1">
      <alignment horizontal="left" vertical="top" wrapText="1"/>
    </xf>
    <xf numFmtId="0" fontId="29" fillId="0" borderId="0" xfId="2" applyFont="1" applyAlignment="1">
      <alignment horizontal="left" vertical="center" wrapText="1"/>
    </xf>
    <xf numFmtId="0" fontId="9" fillId="0" borderId="0" xfId="2" applyFont="1" applyAlignment="1">
      <alignment vertical="top" wrapText="1"/>
    </xf>
    <xf numFmtId="0" fontId="27" fillId="0" borderId="0" xfId="2" applyFont="1" applyAlignment="1">
      <alignment vertical="top" wrapText="1"/>
    </xf>
    <xf numFmtId="0" fontId="9" fillId="0" borderId="0" xfId="2" applyFont="1" applyAlignment="1">
      <alignment horizontal="left" vertical="center" wrapText="1" indent="1"/>
    </xf>
    <xf numFmtId="0" fontId="27" fillId="0" borderId="41" xfId="2" applyFont="1" applyBorder="1" applyAlignment="1">
      <alignment horizontal="center" vertical="top"/>
    </xf>
    <xf numFmtId="0" fontId="27" fillId="0" borderId="0" xfId="2" applyFont="1" applyAlignment="1">
      <alignment horizontal="center" vertical="top"/>
    </xf>
    <xf numFmtId="0" fontId="30" fillId="0" borderId="42" xfId="2" applyFont="1" applyBorder="1" applyAlignment="1">
      <alignment horizontal="center" vertical="center" wrapText="1"/>
    </xf>
    <xf numFmtId="0" fontId="30" fillId="0" borderId="43" xfId="2" applyFont="1" applyBorder="1" applyAlignment="1">
      <alignment horizontal="center" vertical="center" wrapText="1"/>
    </xf>
    <xf numFmtId="0" fontId="30" fillId="0" borderId="2" xfId="2" applyFont="1" applyBorder="1" applyAlignment="1">
      <alignment horizontal="center" vertical="center" wrapText="1"/>
    </xf>
    <xf numFmtId="0" fontId="30" fillId="0" borderId="0" xfId="2" applyFont="1" applyAlignment="1">
      <alignment horizontal="center" vertical="center" wrapText="1"/>
    </xf>
    <xf numFmtId="0" fontId="31" fillId="0" borderId="42" xfId="2" applyFont="1" applyBorder="1" applyAlignment="1">
      <alignment horizontal="center" vertical="center" wrapText="1"/>
    </xf>
    <xf numFmtId="0" fontId="32" fillId="0" borderId="42" xfId="2" applyFont="1" applyBorder="1" applyAlignment="1">
      <alignment horizontal="center" vertical="center" wrapText="1"/>
    </xf>
    <xf numFmtId="0" fontId="32" fillId="0" borderId="43" xfId="2" applyFont="1" applyBorder="1" applyAlignment="1">
      <alignment horizontal="center" vertical="center" wrapText="1"/>
    </xf>
    <xf numFmtId="0" fontId="30" fillId="0" borderId="4" xfId="2" applyFont="1" applyBorder="1" applyAlignment="1">
      <alignment horizontal="center" vertical="center" wrapText="1"/>
    </xf>
    <xf numFmtId="0" fontId="32" fillId="0" borderId="0" xfId="2" applyFont="1" applyAlignment="1">
      <alignment horizontal="center" vertical="center" wrapText="1"/>
    </xf>
    <xf numFmtId="0" fontId="33" fillId="0" borderId="42" xfId="2" applyFont="1" applyBorder="1" applyAlignment="1">
      <alignment horizontal="center" vertical="center" wrapText="1"/>
    </xf>
    <xf numFmtId="0" fontId="34" fillId="0" borderId="43" xfId="2" applyFont="1" applyBorder="1" applyAlignment="1">
      <alignment horizontal="left" vertical="center" wrapText="1"/>
    </xf>
    <xf numFmtId="0" fontId="34" fillId="0" borderId="42" xfId="2" applyFont="1" applyBorder="1" applyAlignment="1">
      <alignment horizontal="center" vertical="center" wrapText="1"/>
    </xf>
    <xf numFmtId="2" fontId="33" fillId="0" borderId="42" xfId="2" applyNumberFormat="1" applyFont="1" applyBorder="1" applyAlignment="1">
      <alignment horizontal="center" vertical="center" wrapText="1"/>
    </xf>
    <xf numFmtId="39" fontId="33" fillId="0" borderId="43" xfId="2" applyNumberFormat="1" applyFont="1" applyBorder="1" applyAlignment="1">
      <alignment horizontal="center" vertical="center" wrapText="1"/>
    </xf>
    <xf numFmtId="39" fontId="33" fillId="0" borderId="1" xfId="2" applyNumberFormat="1" applyFont="1" applyBorder="1" applyAlignment="1">
      <alignment horizontal="center" vertical="center" wrapText="1"/>
    </xf>
    <xf numFmtId="39" fontId="33" fillId="0" borderId="0" xfId="2" applyNumberFormat="1" applyFont="1" applyAlignment="1">
      <alignment horizontal="center" vertical="center" wrapText="1"/>
    </xf>
    <xf numFmtId="0" fontId="32" fillId="0" borderId="43" xfId="2" applyFont="1" applyBorder="1" applyAlignment="1">
      <alignment horizontal="left" vertical="center" wrapText="1"/>
    </xf>
    <xf numFmtId="2" fontId="31" fillId="0" borderId="42" xfId="2" applyNumberFormat="1" applyFont="1" applyBorder="1" applyAlignment="1">
      <alignment horizontal="center" vertical="center" wrapText="1"/>
    </xf>
    <xf numFmtId="39" fontId="31" fillId="0" borderId="43" xfId="2" applyNumberFormat="1" applyFont="1" applyBorder="1" applyAlignment="1">
      <alignment horizontal="center" vertical="center" wrapText="1"/>
    </xf>
    <xf numFmtId="39" fontId="31" fillId="0" borderId="1" xfId="2" applyNumberFormat="1" applyFont="1" applyBorder="1" applyAlignment="1">
      <alignment horizontal="center" vertical="center" wrapText="1"/>
    </xf>
    <xf numFmtId="39" fontId="31" fillId="0" borderId="0" xfId="2" applyNumberFormat="1" applyFont="1" applyAlignment="1">
      <alignment horizontal="center" vertical="center" wrapText="1"/>
    </xf>
    <xf numFmtId="0" fontId="31" fillId="0" borderId="42" xfId="2" applyFont="1" applyBorder="1" applyAlignment="1">
      <alignment horizontal="left" vertical="center" wrapText="1"/>
    </xf>
    <xf numFmtId="0" fontId="31" fillId="0" borderId="42" xfId="2" applyFont="1" applyBorder="1" applyAlignment="1">
      <alignment vertical="center" wrapText="1"/>
    </xf>
    <xf numFmtId="0" fontId="31" fillId="0" borderId="42" xfId="2" applyFont="1" applyBorder="1" applyAlignment="1">
      <alignment horizontal="center" vertical="center"/>
    </xf>
    <xf numFmtId="0" fontId="32" fillId="0" borderId="42" xfId="2" applyFont="1" applyBorder="1" applyAlignment="1">
      <alignment horizontal="left" vertical="center" wrapText="1"/>
    </xf>
    <xf numFmtId="167" fontId="31" fillId="0" borderId="42" xfId="2" applyNumberFormat="1" applyFont="1" applyBorder="1" applyAlignment="1">
      <alignment horizontal="center" vertical="center" wrapText="1"/>
    </xf>
    <xf numFmtId="0" fontId="33" fillId="0" borderId="42" xfId="2" applyFont="1" applyBorder="1" applyAlignment="1">
      <alignment horizontal="right" vertical="center" wrapText="1"/>
    </xf>
    <xf numFmtId="0" fontId="33" fillId="0" borderId="44" xfId="2" applyFont="1" applyBorder="1" applyAlignment="1">
      <alignment horizontal="center" vertical="center" wrapText="1"/>
    </xf>
    <xf numFmtId="168" fontId="35" fillId="0" borderId="0" xfId="2" applyNumberFormat="1" applyFont="1" applyAlignment="1">
      <alignment horizontal="center" vertical="center" wrapText="1"/>
    </xf>
    <xf numFmtId="168" fontId="36" fillId="0" borderId="0" xfId="2" applyNumberFormat="1" applyFont="1" applyAlignment="1">
      <alignment horizontal="center" vertical="center" wrapText="1"/>
    </xf>
    <xf numFmtId="168" fontId="30" fillId="0" borderId="0" xfId="2" applyNumberFormat="1" applyFont="1" applyAlignment="1">
      <alignment horizontal="center" vertical="center" wrapText="1"/>
    </xf>
    <xf numFmtId="0" fontId="37" fillId="0" borderId="0" xfId="2" applyFont="1"/>
    <xf numFmtId="168" fontId="31" fillId="0" borderId="0" xfId="2" applyNumberFormat="1" applyFont="1"/>
    <xf numFmtId="0" fontId="37" fillId="0" borderId="0" xfId="2" applyFont="1"/>
    <xf numFmtId="0" fontId="37" fillId="0" borderId="0" xfId="2" applyFont="1" applyAlignment="1">
      <alignment horizontal="center" vertical="center" wrapText="1"/>
    </xf>
    <xf numFmtId="0" fontId="37" fillId="0" borderId="0" xfId="2" applyFont="1" applyAlignment="1">
      <alignment horizontal="left" wrapText="1"/>
    </xf>
    <xf numFmtId="0" fontId="37" fillId="0" borderId="0" xfId="2" applyFont="1" applyAlignment="1">
      <alignment horizontal="left" vertical="center" wrapText="1"/>
    </xf>
    <xf numFmtId="0" fontId="37" fillId="0" borderId="0" xfId="2" applyFont="1" applyAlignment="1">
      <alignment horizontal="left" vertical="center" wrapText="1"/>
    </xf>
    <xf numFmtId="0" fontId="37" fillId="0" borderId="0" xfId="2" applyFont="1" applyAlignment="1">
      <alignment horizontal="center"/>
    </xf>
    <xf numFmtId="0" fontId="37" fillId="0" borderId="0" xfId="2" applyFont="1" applyAlignment="1">
      <alignment horizontal="left"/>
    </xf>
    <xf numFmtId="0" fontId="38" fillId="0" borderId="0" xfId="2" applyFont="1" applyAlignment="1">
      <alignment horizontal="center"/>
    </xf>
    <xf numFmtId="0" fontId="38" fillId="0" borderId="0" xfId="2" applyFont="1" applyAlignment="1">
      <alignment horizontal="left"/>
    </xf>
  </cellXfs>
  <cellStyles count="3">
    <cellStyle name="Обычный" xfId="0" builtinId="0"/>
    <cellStyle name="Обычный 3" xfId="2" xr:uid="{EEE6E986-61A6-4705-8305-6B45D380A395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054;&#1041;&#1066;&#1045;&#1050;&#1058;&#1067;\&#1055;&#1080;&#1088;&#1091;&#1096;&#1080;&#1085;-&#1051;&#1091;&#1076;&#1080;&#1085;&#1075;\&#1048;&#1089;&#1093;&#1086;&#1076;&#1085;&#1080;&#1082;&#1080;\&#1058;&#1077;&#1093;&#1082;&#1072;&#1088;&#1090;&#1072;_&#1042;&#1080;&#1085;&#1086;&#1075;&#1088;&#1072;&#1076;&#1085;&#1080;&#1082;&#1080;.xlsx" TargetMode="External"/><Relationship Id="rId1" Type="http://schemas.openxmlformats.org/officeDocument/2006/relationships/externalLinkPath" Target="&#1058;&#1077;&#1093;&#1082;&#1072;&#1088;&#1090;&#1072;_&#1042;&#1080;&#1085;&#1086;&#1075;&#1088;&#1072;&#1076;&#1085;&#1080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ынСт_Виноградники_ЗП_Н"/>
      <sheetName val="Посадка саженцев "/>
      <sheetName val="Установка шпалеры"/>
      <sheetName val="Уходные работы"/>
      <sheetName val="Средства защиты растений"/>
      <sheetName val="Уходные Работы 40Га_Проверка"/>
    </sheetNames>
    <sheetDataSet>
      <sheetData sheetId="0"/>
      <sheetData sheetId="1"/>
      <sheetData sheetId="2"/>
      <sheetData sheetId="3"/>
      <sheetData sheetId="4">
        <row r="19">
          <cell r="K19">
            <v>70165</v>
          </cell>
        </row>
        <row r="31">
          <cell r="K31">
            <v>24085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B3D1C-142F-49F6-BB8E-EAB4A433ED56}">
  <dimension ref="B1:I25"/>
  <sheetViews>
    <sheetView workbookViewId="0">
      <selection activeCell="C29" sqref="C29"/>
    </sheetView>
  </sheetViews>
  <sheetFormatPr defaultColWidth="11.42578125" defaultRowHeight="15.75" x14ac:dyDescent="0.25"/>
  <cols>
    <col min="1" max="1" width="11.42578125" style="21"/>
    <col min="2" max="2" width="18.28515625" style="42" customWidth="1"/>
    <col min="3" max="3" width="63.42578125" style="21" customWidth="1"/>
    <col min="4" max="4" width="10.42578125" style="43" customWidth="1"/>
    <col min="5" max="5" width="12.28515625" style="43" customWidth="1"/>
    <col min="6" max="6" width="16.85546875" style="43" customWidth="1"/>
    <col min="7" max="7" width="17.42578125" style="15" customWidth="1"/>
    <col min="8" max="8" width="16.28515625" style="21" customWidth="1"/>
    <col min="9" max="9" width="16.140625" style="21" customWidth="1"/>
    <col min="10" max="10" width="16" style="21" customWidth="1"/>
    <col min="11" max="16384" width="11.42578125" style="21"/>
  </cols>
  <sheetData>
    <row r="1" spans="2:9" s="2" customFormat="1" ht="13.5" x14ac:dyDescent="0.25">
      <c r="B1" s="1"/>
      <c r="D1" s="3"/>
      <c r="E1" s="3"/>
      <c r="F1" s="4">
        <f>F2*1.1</f>
        <v>224.4</v>
      </c>
      <c r="G1" s="5" t="s">
        <v>0</v>
      </c>
      <c r="H1" s="6" t="s">
        <v>1</v>
      </c>
    </row>
    <row r="2" spans="2:9" s="5" customFormat="1" ht="13.5" x14ac:dyDescent="0.25">
      <c r="B2" s="7"/>
      <c r="D2" s="4" t="s">
        <v>2</v>
      </c>
      <c r="E2" s="8">
        <v>120</v>
      </c>
      <c r="F2" s="4">
        <v>204</v>
      </c>
      <c r="G2" s="5" t="s">
        <v>0</v>
      </c>
      <c r="H2" s="6" t="s">
        <v>3</v>
      </c>
    </row>
    <row r="3" spans="2:9" s="5" customFormat="1" ht="13.5" x14ac:dyDescent="0.25">
      <c r="B3" s="7"/>
      <c r="D3" s="4"/>
      <c r="E3" s="4"/>
      <c r="F3" s="9">
        <f>198*10000/3.6+6*10000/6</f>
        <v>560000</v>
      </c>
      <c r="G3" s="5" t="s">
        <v>4</v>
      </c>
    </row>
    <row r="4" spans="2:9" s="15" customFormat="1" ht="63" x14ac:dyDescent="0.25">
      <c r="B4" s="10" t="s">
        <v>5</v>
      </c>
      <c r="C4" s="11" t="s">
        <v>6</v>
      </c>
      <c r="D4" s="12" t="s">
        <v>7</v>
      </c>
      <c r="E4" s="12" t="s">
        <v>8</v>
      </c>
      <c r="F4" s="13" t="s">
        <v>9</v>
      </c>
      <c r="G4" s="14" t="s">
        <v>10</v>
      </c>
    </row>
    <row r="5" spans="2:9" x14ac:dyDescent="0.25">
      <c r="B5" s="16" t="s">
        <v>11</v>
      </c>
      <c r="C5" s="17" t="s">
        <v>12</v>
      </c>
      <c r="D5" s="18"/>
      <c r="E5" s="18"/>
      <c r="F5" s="12">
        <f>SUM(F6:F15)</f>
        <v>13483074</v>
      </c>
      <c r="G5" s="19">
        <f>SUM(F5:F5)</f>
        <v>13483074</v>
      </c>
      <c r="H5" s="20"/>
    </row>
    <row r="6" spans="2:9" x14ac:dyDescent="0.25">
      <c r="B6" s="22" t="s">
        <v>13</v>
      </c>
      <c r="C6" s="23" t="s">
        <v>14</v>
      </c>
      <c r="D6" s="18" t="s">
        <v>0</v>
      </c>
      <c r="E6" s="18">
        <f>'[1]Средства защиты растений'!K31</f>
        <v>24085</v>
      </c>
      <c r="F6" s="18">
        <f>E6*F1</f>
        <v>5404674</v>
      </c>
      <c r="G6" s="24">
        <f>SUM(F6:F6)</f>
        <v>5404674</v>
      </c>
    </row>
    <row r="7" spans="2:9" s="29" customFormat="1" x14ac:dyDescent="0.25">
      <c r="B7" s="25"/>
      <c r="C7" s="26" t="s">
        <v>15</v>
      </c>
      <c r="D7" s="27"/>
      <c r="E7" s="27"/>
      <c r="F7" s="27"/>
      <c r="G7" s="28"/>
    </row>
    <row r="8" spans="2:9" s="29" customFormat="1" x14ac:dyDescent="0.25">
      <c r="B8" s="25"/>
      <c r="C8" s="26" t="s">
        <v>16</v>
      </c>
      <c r="D8" s="27"/>
      <c r="E8" s="27"/>
      <c r="F8" s="27"/>
      <c r="G8" s="28"/>
    </row>
    <row r="9" spans="2:9" s="29" customFormat="1" ht="31.5" x14ac:dyDescent="0.25">
      <c r="B9" s="25"/>
      <c r="C9" s="26" t="s">
        <v>17</v>
      </c>
      <c r="D9" s="27"/>
      <c r="E9" s="27"/>
      <c r="F9" s="27"/>
      <c r="G9" s="28"/>
    </row>
    <row r="10" spans="2:9" s="29" customFormat="1" x14ac:dyDescent="0.25">
      <c r="B10" s="25"/>
      <c r="C10" s="26" t="s">
        <v>18</v>
      </c>
      <c r="D10" s="27"/>
      <c r="E10" s="27"/>
      <c r="F10" s="27"/>
      <c r="G10" s="28"/>
    </row>
    <row r="11" spans="2:9" x14ac:dyDescent="0.25">
      <c r="B11" s="22" t="s">
        <v>19</v>
      </c>
      <c r="C11" s="23" t="s">
        <v>20</v>
      </c>
      <c r="D11" s="18" t="s">
        <v>0</v>
      </c>
      <c r="E11" s="18">
        <v>30000</v>
      </c>
      <c r="F11" s="18">
        <f>E11*F1</f>
        <v>6732000</v>
      </c>
      <c r="G11" s="24">
        <f t="shared" ref="G11:G17" si="0">SUM(F11:F11)</f>
        <v>6732000</v>
      </c>
      <c r="I11" s="20"/>
    </row>
    <row r="12" spans="2:9" x14ac:dyDescent="0.25">
      <c r="B12" s="22" t="s">
        <v>21</v>
      </c>
      <c r="C12" s="23" t="s">
        <v>22</v>
      </c>
      <c r="D12" s="18" t="s">
        <v>0</v>
      </c>
      <c r="E12" s="18">
        <v>1500</v>
      </c>
      <c r="F12" s="18">
        <f>E12*F1</f>
        <v>336600</v>
      </c>
      <c r="G12" s="24">
        <f t="shared" si="0"/>
        <v>336600</v>
      </c>
    </row>
    <row r="13" spans="2:9" x14ac:dyDescent="0.25">
      <c r="B13" s="22" t="s">
        <v>23</v>
      </c>
      <c r="C13" s="23" t="s">
        <v>24</v>
      </c>
      <c r="D13" s="18" t="s">
        <v>0</v>
      </c>
      <c r="E13" s="18">
        <v>1500</v>
      </c>
      <c r="F13" s="18">
        <f>E13*F1</f>
        <v>336600</v>
      </c>
      <c r="G13" s="24">
        <f t="shared" si="0"/>
        <v>336600</v>
      </c>
    </row>
    <row r="14" spans="2:9" x14ac:dyDescent="0.25">
      <c r="B14" s="22" t="s">
        <v>25</v>
      </c>
      <c r="C14" s="23" t="s">
        <v>26</v>
      </c>
      <c r="D14" s="18" t="s">
        <v>0</v>
      </c>
      <c r="E14" s="18">
        <v>1500</v>
      </c>
      <c r="F14" s="18">
        <f>E14*F1</f>
        <v>336600</v>
      </c>
      <c r="G14" s="24">
        <f t="shared" si="0"/>
        <v>336600</v>
      </c>
    </row>
    <row r="15" spans="2:9" x14ac:dyDescent="0.25">
      <c r="B15" s="22" t="s">
        <v>27</v>
      </c>
      <c r="C15" s="23" t="s">
        <v>28</v>
      </c>
      <c r="D15" s="18" t="s">
        <v>0</v>
      </c>
      <c r="E15" s="18">
        <v>1500</v>
      </c>
      <c r="F15" s="18">
        <f>E15*F1</f>
        <v>336600</v>
      </c>
      <c r="G15" s="24">
        <f t="shared" si="0"/>
        <v>336600</v>
      </c>
    </row>
    <row r="16" spans="2:9" x14ac:dyDescent="0.25">
      <c r="B16" s="16" t="s">
        <v>29</v>
      </c>
      <c r="C16" s="17" t="s">
        <v>30</v>
      </c>
      <c r="D16" s="18"/>
      <c r="E16" s="18"/>
      <c r="F16" s="12">
        <f>SUM(F17:F23)</f>
        <v>115286800</v>
      </c>
      <c r="G16" s="19">
        <f t="shared" si="0"/>
        <v>115286800</v>
      </c>
      <c r="H16" s="20"/>
    </row>
    <row r="17" spans="2:8" x14ac:dyDescent="0.25">
      <c r="B17" s="22" t="s">
        <v>31</v>
      </c>
      <c r="C17" s="23" t="s">
        <v>32</v>
      </c>
      <c r="D17" s="30" t="s">
        <v>0</v>
      </c>
      <c r="E17" s="31">
        <f>10000/3.6*24</f>
        <v>66666.666666666672</v>
      </c>
      <c r="F17" s="18">
        <f>E17*F1</f>
        <v>14960000.000000002</v>
      </c>
      <c r="G17" s="24">
        <f t="shared" si="0"/>
        <v>14960000.000000002</v>
      </c>
      <c r="H17" s="21" t="s">
        <v>33</v>
      </c>
    </row>
    <row r="18" spans="2:8" x14ac:dyDescent="0.25">
      <c r="B18" s="22" t="s">
        <v>34</v>
      </c>
      <c r="C18" s="23" t="s">
        <v>35</v>
      </c>
      <c r="D18" s="32"/>
      <c r="E18" s="33"/>
      <c r="F18" s="18"/>
      <c r="G18" s="34"/>
    </row>
    <row r="19" spans="2:8" x14ac:dyDescent="0.25">
      <c r="B19" s="22" t="s">
        <v>36</v>
      </c>
      <c r="C19" s="23" t="s">
        <v>37</v>
      </c>
      <c r="D19" s="35"/>
      <c r="E19" s="36"/>
      <c r="F19" s="18"/>
      <c r="G19" s="34"/>
    </row>
    <row r="20" spans="2:8" x14ac:dyDescent="0.25">
      <c r="B20" s="22" t="s">
        <v>38</v>
      </c>
      <c r="C20" s="23" t="s">
        <v>39</v>
      </c>
      <c r="D20" s="18" t="s">
        <v>40</v>
      </c>
      <c r="E20" s="18">
        <v>300</v>
      </c>
      <c r="F20" s="18">
        <f>E20*5556</f>
        <v>1666800</v>
      </c>
      <c r="G20" s="24">
        <f>SUM(F20:F20)</f>
        <v>1666800</v>
      </c>
      <c r="H20" s="21" t="s">
        <v>41</v>
      </c>
    </row>
    <row r="21" spans="2:8" x14ac:dyDescent="0.25">
      <c r="B21" s="22" t="s">
        <v>42</v>
      </c>
      <c r="C21" s="23" t="s">
        <v>43</v>
      </c>
      <c r="D21" s="18" t="s">
        <v>44</v>
      </c>
      <c r="E21" s="18">
        <v>6</v>
      </c>
      <c r="F21" s="18">
        <f>E21*F3</f>
        <v>3360000</v>
      </c>
      <c r="G21" s="24">
        <f>SUM(F21:F21)</f>
        <v>3360000</v>
      </c>
    </row>
    <row r="22" spans="2:8" x14ac:dyDescent="0.25">
      <c r="B22" s="22" t="s">
        <v>45</v>
      </c>
      <c r="C22" s="23" t="s">
        <v>46</v>
      </c>
      <c r="D22" s="18" t="s">
        <v>0</v>
      </c>
      <c r="E22" s="18">
        <f>10000/3.6*15</f>
        <v>41666.666666666664</v>
      </c>
      <c r="F22" s="18">
        <f>E22*F2</f>
        <v>8500000</v>
      </c>
      <c r="G22" s="24">
        <f>SUM(F22:F22)</f>
        <v>8500000</v>
      </c>
      <c r="H22" s="21" t="s">
        <v>47</v>
      </c>
    </row>
    <row r="23" spans="2:8" x14ac:dyDescent="0.25">
      <c r="B23" s="22" t="s">
        <v>48</v>
      </c>
      <c r="C23" s="23" t="s">
        <v>49</v>
      </c>
      <c r="D23" s="18" t="s">
        <v>44</v>
      </c>
      <c r="E23" s="18">
        <v>155</v>
      </c>
      <c r="F23" s="18">
        <f>E23*F3</f>
        <v>86800000</v>
      </c>
      <c r="G23" s="24">
        <f>SUM(F23:F23)</f>
        <v>86800000</v>
      </c>
    </row>
    <row r="24" spans="2:8" s="41" customFormat="1" x14ac:dyDescent="0.25">
      <c r="B24" s="37"/>
      <c r="C24" s="38" t="s">
        <v>50</v>
      </c>
      <c r="D24" s="39"/>
      <c r="E24" s="39"/>
      <c r="F24" s="39"/>
      <c r="G24" s="40">
        <f>G5+G16</f>
        <v>128769874</v>
      </c>
    </row>
    <row r="25" spans="2:8" x14ac:dyDescent="0.25">
      <c r="G25" s="15">
        <f>G24/F1</f>
        <v>573840.79322638141</v>
      </c>
    </row>
  </sheetData>
  <mergeCells count="2">
    <mergeCell ref="D17:D19"/>
    <mergeCell ref="E17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7B5C-8B4D-4BEA-81AC-EE463F575C3A}">
  <dimension ref="B1:I28"/>
  <sheetViews>
    <sheetView workbookViewId="0">
      <selection sqref="A1:XFD1048576"/>
    </sheetView>
  </sheetViews>
  <sheetFormatPr defaultColWidth="11.42578125" defaultRowHeight="15.75" x14ac:dyDescent="0.25"/>
  <cols>
    <col min="1" max="1" width="11.42578125" style="44"/>
    <col min="2" max="2" width="7.42578125" style="44" customWidth="1"/>
    <col min="3" max="3" width="70.28515625" style="44" customWidth="1"/>
    <col min="4" max="4" width="11.42578125" style="44"/>
    <col min="5" max="5" width="12.85546875" style="44" customWidth="1"/>
    <col min="6" max="6" width="18.5703125" style="44" customWidth="1"/>
    <col min="7" max="7" width="17.140625" style="44" customWidth="1"/>
    <col min="8" max="8" width="30.28515625" style="44" customWidth="1"/>
    <col min="9" max="9" width="15" style="44" bestFit="1" customWidth="1"/>
    <col min="10" max="10" width="13.85546875" style="44" bestFit="1" customWidth="1"/>
    <col min="11" max="16384" width="11.42578125" style="44"/>
  </cols>
  <sheetData>
    <row r="1" spans="2:9" x14ac:dyDescent="0.25">
      <c r="F1" s="4">
        <v>204</v>
      </c>
      <c r="G1" s="4">
        <v>204</v>
      </c>
      <c r="H1" s="45" t="s">
        <v>0</v>
      </c>
      <c r="I1" s="43"/>
    </row>
    <row r="2" spans="2:9" x14ac:dyDescent="0.25">
      <c r="F2" s="9">
        <v>560000</v>
      </c>
      <c r="G2" s="9"/>
      <c r="H2" s="45" t="s">
        <v>51</v>
      </c>
      <c r="I2" s="43"/>
    </row>
    <row r="3" spans="2:9" ht="63" x14ac:dyDescent="0.25">
      <c r="B3" s="46" t="s">
        <v>52</v>
      </c>
      <c r="C3" s="46" t="s">
        <v>53</v>
      </c>
      <c r="D3" s="47" t="s">
        <v>54</v>
      </c>
      <c r="E3" s="47" t="s">
        <v>55</v>
      </c>
      <c r="F3" s="48" t="s">
        <v>9</v>
      </c>
      <c r="G3" s="49" t="s">
        <v>10</v>
      </c>
    </row>
    <row r="4" spans="2:9" x14ac:dyDescent="0.25">
      <c r="B4" s="50" t="s">
        <v>56</v>
      </c>
      <c r="C4" s="51" t="s">
        <v>57</v>
      </c>
      <c r="D4" s="52" t="s">
        <v>0</v>
      </c>
      <c r="E4" s="12"/>
      <c r="F4" s="12">
        <f t="shared" ref="F4" si="0">F5+F15</f>
        <v>12440000</v>
      </c>
      <c r="G4" s="53">
        <f>G5+G15</f>
        <v>12440000</v>
      </c>
    </row>
    <row r="5" spans="2:9" x14ac:dyDescent="0.25">
      <c r="B5" s="54"/>
      <c r="C5" s="23" t="s">
        <v>58</v>
      </c>
      <c r="D5" s="55" t="s">
        <v>0</v>
      </c>
      <c r="E5" s="18">
        <v>50000</v>
      </c>
      <c r="F5" s="18">
        <f>E5*F1</f>
        <v>10200000</v>
      </c>
      <c r="G5" s="56">
        <f>SUM(F5:F5)</f>
        <v>10200000</v>
      </c>
    </row>
    <row r="6" spans="2:9" s="59" customFormat="1" x14ac:dyDescent="0.25">
      <c r="B6" s="26"/>
      <c r="C6" s="26" t="s">
        <v>59</v>
      </c>
      <c r="D6" s="57"/>
      <c r="E6" s="27"/>
      <c r="F6" s="27"/>
      <c r="G6" s="58"/>
    </row>
    <row r="7" spans="2:9" s="59" customFormat="1" x14ac:dyDescent="0.25">
      <c r="B7" s="26"/>
      <c r="C7" s="26" t="s">
        <v>60</v>
      </c>
      <c r="D7" s="57"/>
      <c r="E7" s="27"/>
      <c r="F7" s="27"/>
      <c r="G7" s="58"/>
    </row>
    <row r="8" spans="2:9" s="59" customFormat="1" x14ac:dyDescent="0.25">
      <c r="B8" s="26"/>
      <c r="C8" s="26" t="s">
        <v>61</v>
      </c>
      <c r="D8" s="57"/>
      <c r="E8" s="27"/>
      <c r="F8" s="27"/>
      <c r="G8" s="58"/>
    </row>
    <row r="9" spans="2:9" s="59" customFormat="1" x14ac:dyDescent="0.25">
      <c r="B9" s="26"/>
      <c r="C9" s="26" t="s">
        <v>62</v>
      </c>
      <c r="D9" s="57"/>
      <c r="E9" s="27"/>
      <c r="F9" s="27"/>
      <c r="G9" s="58"/>
    </row>
    <row r="10" spans="2:9" s="59" customFormat="1" x14ac:dyDescent="0.25">
      <c r="B10" s="26"/>
      <c r="C10" s="26" t="s">
        <v>63</v>
      </c>
      <c r="D10" s="57"/>
      <c r="E10" s="27"/>
      <c r="F10" s="27"/>
      <c r="G10" s="58"/>
    </row>
    <row r="11" spans="2:9" s="59" customFormat="1" x14ac:dyDescent="0.25">
      <c r="B11" s="26"/>
      <c r="C11" s="26" t="s">
        <v>64</v>
      </c>
      <c r="D11" s="57"/>
      <c r="E11" s="27"/>
      <c r="F11" s="27"/>
      <c r="G11" s="58"/>
    </row>
    <row r="12" spans="2:9" s="59" customFormat="1" x14ac:dyDescent="0.25">
      <c r="B12" s="26"/>
      <c r="C12" s="26" t="s">
        <v>65</v>
      </c>
      <c r="D12" s="57"/>
      <c r="E12" s="27"/>
      <c r="F12" s="27"/>
      <c r="G12" s="58"/>
    </row>
    <row r="13" spans="2:9" s="59" customFormat="1" x14ac:dyDescent="0.25">
      <c r="B13" s="26"/>
      <c r="C13" s="26" t="s">
        <v>66</v>
      </c>
      <c r="D13" s="57"/>
      <c r="E13" s="27"/>
      <c r="F13" s="27"/>
      <c r="G13" s="58"/>
    </row>
    <row r="14" spans="2:9" s="59" customFormat="1" x14ac:dyDescent="0.25">
      <c r="B14" s="26"/>
      <c r="C14" s="26" t="s">
        <v>67</v>
      </c>
      <c r="D14" s="57"/>
      <c r="E14" s="27"/>
      <c r="F14" s="27"/>
      <c r="G14" s="58"/>
    </row>
    <row r="15" spans="2:9" x14ac:dyDescent="0.25">
      <c r="B15" s="23"/>
      <c r="C15" s="23" t="s">
        <v>68</v>
      </c>
      <c r="D15" s="55" t="s">
        <v>44</v>
      </c>
      <c r="E15" s="18">
        <v>4</v>
      </c>
      <c r="F15" s="18">
        <f>E15*F2</f>
        <v>2240000</v>
      </c>
      <c r="G15" s="56">
        <f t="shared" ref="G15:G26" si="1">SUM(F15:F15)</f>
        <v>2240000</v>
      </c>
    </row>
    <row r="16" spans="2:9" s="60" customFormat="1" x14ac:dyDescent="0.25">
      <c r="B16" s="51" t="s">
        <v>69</v>
      </c>
      <c r="C16" s="51" t="s">
        <v>70</v>
      </c>
      <c r="D16" s="52"/>
      <c r="E16" s="12"/>
      <c r="F16" s="12">
        <f t="shared" ref="F16" si="2">SUM(F17:F27)</f>
        <v>115946105.65338276</v>
      </c>
      <c r="G16" s="53">
        <f t="shared" si="1"/>
        <v>115946105.65338276</v>
      </c>
    </row>
    <row r="17" spans="2:9" s="59" customFormat="1" x14ac:dyDescent="0.25">
      <c r="B17" s="26"/>
      <c r="C17" s="26" t="s">
        <v>71</v>
      </c>
      <c r="D17" s="57" t="s">
        <v>44</v>
      </c>
      <c r="E17" s="27">
        <v>900</v>
      </c>
      <c r="F17" s="27">
        <f>F2*2.4%*E17</f>
        <v>12096000</v>
      </c>
      <c r="G17" s="58">
        <f t="shared" si="1"/>
        <v>12096000</v>
      </c>
      <c r="H17" s="59" t="s">
        <v>72</v>
      </c>
      <c r="I17" s="61"/>
    </row>
    <row r="18" spans="2:9" s="59" customFormat="1" x14ac:dyDescent="0.25">
      <c r="B18" s="26"/>
      <c r="C18" s="26" t="s">
        <v>73</v>
      </c>
      <c r="D18" s="57" t="s">
        <v>44</v>
      </c>
      <c r="E18" s="27">
        <v>500</v>
      </c>
      <c r="F18" s="27">
        <f>F2/5.2*E18</f>
        <v>53846153.84615384</v>
      </c>
      <c r="G18" s="58">
        <f t="shared" si="1"/>
        <v>53846153.84615384</v>
      </c>
      <c r="I18" s="61"/>
    </row>
    <row r="19" spans="2:9" s="59" customFormat="1" x14ac:dyDescent="0.25">
      <c r="B19" s="26"/>
      <c r="C19" s="26" t="s">
        <v>74</v>
      </c>
      <c r="D19" s="57" t="s">
        <v>44</v>
      </c>
      <c r="E19" s="27">
        <v>20</v>
      </c>
      <c r="F19" s="27">
        <f>E19*F2</f>
        <v>11200000</v>
      </c>
      <c r="G19" s="58">
        <f t="shared" si="1"/>
        <v>11200000</v>
      </c>
    </row>
    <row r="20" spans="2:9" s="59" customFormat="1" x14ac:dyDescent="0.25">
      <c r="B20" s="26"/>
      <c r="C20" s="26" t="s">
        <v>75</v>
      </c>
      <c r="D20" s="57" t="s">
        <v>44</v>
      </c>
      <c r="E20" s="27">
        <v>350</v>
      </c>
      <c r="F20" s="27">
        <f>F2*2.4%*E20</f>
        <v>4704000</v>
      </c>
      <c r="G20" s="58">
        <f t="shared" si="1"/>
        <v>4704000</v>
      </c>
    </row>
    <row r="21" spans="2:9" s="59" customFormat="1" x14ac:dyDescent="0.25">
      <c r="B21" s="26"/>
      <c r="C21" s="26" t="s">
        <v>76</v>
      </c>
      <c r="D21" s="57" t="s">
        <v>44</v>
      </c>
      <c r="E21" s="27">
        <v>300</v>
      </c>
      <c r="F21" s="27">
        <f>F2*7.2%*E21</f>
        <v>12096000.000000002</v>
      </c>
      <c r="G21" s="58">
        <f t="shared" si="1"/>
        <v>12096000.000000002</v>
      </c>
    </row>
    <row r="22" spans="2:9" s="59" customFormat="1" x14ac:dyDescent="0.25">
      <c r="B22" s="26"/>
      <c r="C22" s="26" t="s">
        <v>77</v>
      </c>
      <c r="D22" s="57" t="s">
        <v>78</v>
      </c>
      <c r="E22" s="27">
        <v>200</v>
      </c>
      <c r="F22" s="27">
        <f>F2*1.2*0.04*E22</f>
        <v>5376000</v>
      </c>
      <c r="G22" s="58">
        <f t="shared" si="1"/>
        <v>5376000</v>
      </c>
      <c r="H22" s="59" t="s">
        <v>79</v>
      </c>
    </row>
    <row r="23" spans="2:9" s="59" customFormat="1" x14ac:dyDescent="0.25">
      <c r="B23" s="26"/>
      <c r="C23" s="26" t="s">
        <v>80</v>
      </c>
      <c r="D23" s="57" t="s">
        <v>78</v>
      </c>
      <c r="E23" s="27">
        <v>200</v>
      </c>
      <c r="F23" s="27">
        <f>F2*1.2*4*0.02*E23</f>
        <v>10752000</v>
      </c>
      <c r="G23" s="58">
        <f t="shared" si="1"/>
        <v>10752000</v>
      </c>
      <c r="H23" s="59" t="s">
        <v>81</v>
      </c>
    </row>
    <row r="24" spans="2:9" s="59" customFormat="1" x14ac:dyDescent="0.25">
      <c r="B24" s="26"/>
      <c r="C24" s="26" t="s">
        <v>82</v>
      </c>
      <c r="D24" s="57" t="s">
        <v>44</v>
      </c>
      <c r="E24" s="27">
        <v>100</v>
      </c>
      <c r="F24" s="27">
        <f>F2/83*2*E24</f>
        <v>1349397.5903614459</v>
      </c>
      <c r="G24" s="58">
        <f t="shared" si="1"/>
        <v>1349397.5903614459</v>
      </c>
    </row>
    <row r="25" spans="2:9" s="59" customFormat="1" x14ac:dyDescent="0.25">
      <c r="B25" s="26"/>
      <c r="C25" s="26" t="s">
        <v>83</v>
      </c>
      <c r="D25" s="57" t="s">
        <v>44</v>
      </c>
      <c r="E25" s="27">
        <v>60</v>
      </c>
      <c r="F25" s="27">
        <f>F2/83*8*E25</f>
        <v>3238554.2168674702</v>
      </c>
      <c r="G25" s="58">
        <f t="shared" si="1"/>
        <v>3238554.2168674702</v>
      </c>
    </row>
    <row r="26" spans="2:9" s="59" customFormat="1" x14ac:dyDescent="0.25">
      <c r="B26" s="26"/>
      <c r="C26" s="26" t="s">
        <v>84</v>
      </c>
      <c r="D26" s="57" t="s">
        <v>44</v>
      </c>
      <c r="E26" s="27">
        <v>2.2999999999999998</v>
      </c>
      <c r="F26" s="27">
        <f>F2*E26</f>
        <v>1288000</v>
      </c>
      <c r="G26" s="58">
        <f t="shared" si="1"/>
        <v>1288000</v>
      </c>
    </row>
    <row r="27" spans="2:9" s="59" customFormat="1" x14ac:dyDescent="0.25">
      <c r="B27" s="26"/>
      <c r="C27" s="26"/>
      <c r="D27" s="57"/>
      <c r="E27" s="27"/>
      <c r="F27" s="27"/>
      <c r="G27" s="58"/>
    </row>
    <row r="28" spans="2:9" s="64" customFormat="1" x14ac:dyDescent="0.25">
      <c r="B28" s="62"/>
      <c r="C28" s="62" t="s">
        <v>85</v>
      </c>
      <c r="D28" s="62"/>
      <c r="E28" s="39"/>
      <c r="F28" s="39">
        <f>F4+F16</f>
        <v>128386105.65338276</v>
      </c>
      <c r="G28" s="63">
        <f>G4+G16</f>
        <v>128386105.65338276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1C58-C061-4F73-8C68-E78ADFEE034E}">
  <dimension ref="B1:G26"/>
  <sheetViews>
    <sheetView workbookViewId="0">
      <selection sqref="A1:XFD1048576"/>
    </sheetView>
  </sheetViews>
  <sheetFormatPr defaultColWidth="11.42578125" defaultRowHeight="15.75" x14ac:dyDescent="0.25"/>
  <cols>
    <col min="1" max="2" width="11.42578125" style="21"/>
    <col min="3" max="3" width="84.42578125" style="21" customWidth="1"/>
    <col min="4" max="4" width="9.85546875" style="21" bestFit="1" customWidth="1"/>
    <col min="5" max="5" width="16.5703125" style="21" customWidth="1"/>
    <col min="6" max="7" width="14.140625" style="21" bestFit="1" customWidth="1"/>
    <col min="8" max="16384" width="11.42578125" style="21"/>
  </cols>
  <sheetData>
    <row r="1" spans="2:7" x14ac:dyDescent="0.25">
      <c r="F1" s="65">
        <v>560000</v>
      </c>
    </row>
    <row r="2" spans="2:7" x14ac:dyDescent="0.25">
      <c r="F2" s="20">
        <v>204</v>
      </c>
      <c r="G2" s="21" t="s">
        <v>0</v>
      </c>
    </row>
    <row r="3" spans="2:7" ht="47.25" x14ac:dyDescent="0.25">
      <c r="B3" s="46" t="s">
        <v>86</v>
      </c>
      <c r="C3" s="46" t="s">
        <v>87</v>
      </c>
      <c r="D3" s="66" t="s">
        <v>7</v>
      </c>
      <c r="E3" s="66" t="s">
        <v>8</v>
      </c>
      <c r="F3" s="66" t="s">
        <v>88</v>
      </c>
      <c r="G3" s="67" t="s">
        <v>10</v>
      </c>
    </row>
    <row r="4" spans="2:7" x14ac:dyDescent="0.25">
      <c r="B4" s="17" t="s">
        <v>89</v>
      </c>
      <c r="C4" s="17" t="s">
        <v>90</v>
      </c>
      <c r="D4" s="68"/>
      <c r="E4" s="69"/>
      <c r="F4" s="69"/>
      <c r="G4" s="69"/>
    </row>
    <row r="5" spans="2:7" x14ac:dyDescent="0.25">
      <c r="B5" s="23"/>
      <c r="C5" s="23" t="s">
        <v>91</v>
      </c>
      <c r="D5" s="68" t="s">
        <v>92</v>
      </c>
      <c r="E5" s="69">
        <v>2.5</v>
      </c>
      <c r="F5" s="69">
        <f>E5*F1</f>
        <v>1400000</v>
      </c>
      <c r="G5" s="69">
        <f t="shared" ref="G5:G12" si="0">F5</f>
        <v>1400000</v>
      </c>
    </row>
    <row r="6" spans="2:7" x14ac:dyDescent="0.25">
      <c r="B6" s="23"/>
      <c r="C6" s="23" t="s">
        <v>93</v>
      </c>
      <c r="D6" s="68" t="s">
        <v>92</v>
      </c>
      <c r="E6" s="69">
        <v>1.5</v>
      </c>
      <c r="F6" s="69">
        <f>E6*F1</f>
        <v>840000</v>
      </c>
      <c r="G6" s="69">
        <f t="shared" si="0"/>
        <v>840000</v>
      </c>
    </row>
    <row r="7" spans="2:7" x14ac:dyDescent="0.25">
      <c r="B7" s="23"/>
      <c r="C7" s="23" t="s">
        <v>94</v>
      </c>
      <c r="D7" s="68" t="s">
        <v>92</v>
      </c>
      <c r="E7" s="69">
        <v>2.5</v>
      </c>
      <c r="F7" s="69">
        <f>E7*F1*4</f>
        <v>5600000</v>
      </c>
      <c r="G7" s="69">
        <f t="shared" si="0"/>
        <v>5600000</v>
      </c>
    </row>
    <row r="8" spans="2:7" x14ac:dyDescent="0.25">
      <c r="B8" s="23"/>
      <c r="C8" s="23" t="s">
        <v>95</v>
      </c>
      <c r="D8" s="68" t="s">
        <v>40</v>
      </c>
      <c r="E8" s="69">
        <v>200</v>
      </c>
      <c r="F8" s="69">
        <f>E8*1200</f>
        <v>240000</v>
      </c>
      <c r="G8" s="69">
        <f t="shared" si="0"/>
        <v>240000</v>
      </c>
    </row>
    <row r="9" spans="2:7" x14ac:dyDescent="0.25">
      <c r="B9" s="23"/>
      <c r="C9" s="23" t="s">
        <v>96</v>
      </c>
      <c r="D9" s="68" t="s">
        <v>92</v>
      </c>
      <c r="E9" s="69">
        <v>6</v>
      </c>
      <c r="F9" s="69">
        <f>E9*F1*2</f>
        <v>6720000</v>
      </c>
      <c r="G9" s="69">
        <f t="shared" si="0"/>
        <v>6720000</v>
      </c>
    </row>
    <row r="10" spans="2:7" x14ac:dyDescent="0.25">
      <c r="B10" s="23"/>
      <c r="C10" s="23" t="s">
        <v>97</v>
      </c>
      <c r="D10" s="68" t="s">
        <v>92</v>
      </c>
      <c r="E10" s="69">
        <v>3</v>
      </c>
      <c r="F10" s="69">
        <f>E10*F1</f>
        <v>1680000</v>
      </c>
      <c r="G10" s="69">
        <f t="shared" si="0"/>
        <v>1680000</v>
      </c>
    </row>
    <row r="11" spans="2:7" x14ac:dyDescent="0.25">
      <c r="B11" s="23"/>
      <c r="C11" s="23" t="s">
        <v>98</v>
      </c>
      <c r="D11" s="68" t="s">
        <v>0</v>
      </c>
      <c r="E11" s="69">
        <v>2.5</v>
      </c>
      <c r="F11" s="69">
        <f>E11*F1</f>
        <v>1400000</v>
      </c>
      <c r="G11" s="69">
        <f t="shared" si="0"/>
        <v>1400000</v>
      </c>
    </row>
    <row r="12" spans="2:7" x14ac:dyDescent="0.25">
      <c r="B12" s="23"/>
      <c r="C12" s="23" t="s">
        <v>99</v>
      </c>
      <c r="D12" s="68" t="s">
        <v>92</v>
      </c>
      <c r="E12" s="69">
        <v>3</v>
      </c>
      <c r="F12" s="69">
        <f>E12*F1</f>
        <v>1680000</v>
      </c>
      <c r="G12" s="69">
        <f t="shared" si="0"/>
        <v>1680000</v>
      </c>
    </row>
    <row r="13" spans="2:7" x14ac:dyDescent="0.25">
      <c r="B13" s="23"/>
      <c r="C13" s="23" t="s">
        <v>100</v>
      </c>
      <c r="D13" s="68" t="s">
        <v>0</v>
      </c>
      <c r="E13" s="69">
        <f>'[1]Средства защиты растений'!K31</f>
        <v>24085</v>
      </c>
      <c r="F13" s="69">
        <f>E13*F2</f>
        <v>4913340</v>
      </c>
      <c r="G13" s="69">
        <f>SUM(F13:F13)</f>
        <v>4913340</v>
      </c>
    </row>
    <row r="14" spans="2:7" x14ac:dyDescent="0.25">
      <c r="B14" s="23"/>
      <c r="C14" s="26" t="s">
        <v>15</v>
      </c>
      <c r="D14" s="68" t="s">
        <v>40</v>
      </c>
      <c r="E14" s="69">
        <v>300</v>
      </c>
      <c r="F14" s="69">
        <f>F1*E14/1000</f>
        <v>168000</v>
      </c>
      <c r="G14" s="69">
        <f>F14</f>
        <v>168000</v>
      </c>
    </row>
    <row r="15" spans="2:7" x14ac:dyDescent="0.25">
      <c r="B15" s="23"/>
      <c r="C15" s="26" t="s">
        <v>16</v>
      </c>
      <c r="D15" s="68"/>
      <c r="E15" s="69"/>
      <c r="F15" s="69"/>
      <c r="G15" s="69"/>
    </row>
    <row r="16" spans="2:7" x14ac:dyDescent="0.25">
      <c r="B16" s="23"/>
      <c r="C16" s="26" t="s">
        <v>101</v>
      </c>
      <c r="D16" s="68" t="s">
        <v>0</v>
      </c>
      <c r="E16" s="69">
        <v>500</v>
      </c>
      <c r="F16" s="69">
        <f>F2*E16</f>
        <v>102000</v>
      </c>
      <c r="G16" s="69">
        <f>F16</f>
        <v>102000</v>
      </c>
    </row>
    <row r="17" spans="2:7" x14ac:dyDescent="0.25">
      <c r="B17" s="23"/>
      <c r="C17" s="23" t="s">
        <v>102</v>
      </c>
      <c r="D17" s="68" t="s">
        <v>0</v>
      </c>
      <c r="E17" s="69">
        <f>'[1]Средства защиты растений'!K19</f>
        <v>70165</v>
      </c>
      <c r="F17" s="69">
        <f>F2*E17</f>
        <v>14313660</v>
      </c>
      <c r="G17" s="69">
        <f>SUM(F17:F17)</f>
        <v>14313660</v>
      </c>
    </row>
    <row r="18" spans="2:7" s="29" customFormat="1" x14ac:dyDescent="0.25">
      <c r="B18" s="26"/>
      <c r="C18" s="26" t="s">
        <v>103</v>
      </c>
      <c r="D18" s="70"/>
      <c r="E18" s="71"/>
      <c r="F18" s="71"/>
      <c r="G18" s="71"/>
    </row>
    <row r="19" spans="2:7" s="29" customFormat="1" x14ac:dyDescent="0.25">
      <c r="B19" s="26"/>
      <c r="C19" s="26" t="s">
        <v>104</v>
      </c>
      <c r="D19" s="68" t="s">
        <v>40</v>
      </c>
      <c r="E19" s="69">
        <v>300</v>
      </c>
      <c r="F19" s="69">
        <f>F14</f>
        <v>168000</v>
      </c>
      <c r="G19" s="69">
        <f>F19</f>
        <v>168000</v>
      </c>
    </row>
    <row r="20" spans="2:7" s="29" customFormat="1" x14ac:dyDescent="0.25">
      <c r="B20" s="26"/>
      <c r="C20" s="26" t="s">
        <v>105</v>
      </c>
      <c r="D20" s="68" t="s">
        <v>0</v>
      </c>
      <c r="E20" s="69">
        <v>500</v>
      </c>
      <c r="F20" s="69">
        <f>F16</f>
        <v>102000</v>
      </c>
      <c r="G20" s="69">
        <f>F20</f>
        <v>102000</v>
      </c>
    </row>
    <row r="21" spans="2:7" s="15" customFormat="1" x14ac:dyDescent="0.25">
      <c r="B21" s="51"/>
      <c r="C21" s="17" t="s">
        <v>50</v>
      </c>
      <c r="D21" s="72"/>
      <c r="E21" s="73"/>
      <c r="F21" s="73">
        <f>SUM(F5:F20)</f>
        <v>39327000</v>
      </c>
      <c r="G21" s="73">
        <f>SUM(G5:G20)</f>
        <v>39327000</v>
      </c>
    </row>
    <row r="23" spans="2:7" x14ac:dyDescent="0.25">
      <c r="G23" s="20">
        <f>G17+G13</f>
        <v>19227000</v>
      </c>
    </row>
    <row r="24" spans="2:7" x14ac:dyDescent="0.25">
      <c r="G24" s="20">
        <f>G21-G23</f>
        <v>20100000</v>
      </c>
    </row>
    <row r="26" spans="2:7" x14ac:dyDescent="0.25">
      <c r="G26" s="74">
        <f>G21/224</f>
        <v>175566.96428571429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480E-B049-42E7-8150-FCB28663E5D4}">
  <dimension ref="A2:K35"/>
  <sheetViews>
    <sheetView workbookViewId="0">
      <selection sqref="A1:XFD1048576"/>
    </sheetView>
  </sheetViews>
  <sheetFormatPr defaultRowHeight="15" x14ac:dyDescent="0.25"/>
  <cols>
    <col min="1" max="1" width="4.7109375" customWidth="1"/>
    <col min="2" max="2" width="22.42578125" customWidth="1"/>
    <col min="3" max="3" width="7" customWidth="1"/>
    <col min="4" max="4" width="9" customWidth="1"/>
    <col min="5" max="5" width="9.28515625" customWidth="1"/>
    <col min="6" max="6" width="9.85546875" customWidth="1"/>
    <col min="7" max="7" width="12.5703125" bestFit="1" customWidth="1"/>
    <col min="8" max="8" width="14.85546875" customWidth="1"/>
    <col min="9" max="9" width="10" customWidth="1"/>
    <col min="10" max="10" width="12.5703125" customWidth="1"/>
    <col min="11" max="11" width="14.7109375" customWidth="1"/>
  </cols>
  <sheetData>
    <row r="2" spans="1:11" ht="18.75" x14ac:dyDescent="0.3">
      <c r="A2" s="75" t="s">
        <v>106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ht="15.75" thickBot="1" x14ac:dyDescent="0.3">
      <c r="D3">
        <v>1</v>
      </c>
    </row>
    <row r="4" spans="1:11" x14ac:dyDescent="0.25">
      <c r="A4" s="76" t="s">
        <v>107</v>
      </c>
      <c r="B4" s="77" t="s">
        <v>108</v>
      </c>
      <c r="C4" s="78" t="s">
        <v>109</v>
      </c>
      <c r="D4" s="79"/>
      <c r="E4" s="80" t="s">
        <v>110</v>
      </c>
      <c r="F4" s="81"/>
      <c r="G4" s="82"/>
      <c r="H4" s="83"/>
      <c r="I4" s="82" t="s">
        <v>111</v>
      </c>
      <c r="J4" s="82"/>
      <c r="K4" s="82"/>
    </row>
    <row r="5" spans="1:11" ht="30.75" thickBot="1" x14ac:dyDescent="0.3">
      <c r="A5" s="84"/>
      <c r="B5" s="85"/>
      <c r="C5" s="86"/>
      <c r="D5" s="87" t="s">
        <v>112</v>
      </c>
      <c r="E5" s="88"/>
      <c r="F5" s="89" t="s">
        <v>113</v>
      </c>
      <c r="G5" s="90" t="s">
        <v>114</v>
      </c>
      <c r="H5" s="91" t="s">
        <v>115</v>
      </c>
      <c r="I5" s="92" t="s">
        <v>113</v>
      </c>
      <c r="J5" s="90" t="s">
        <v>114</v>
      </c>
      <c r="K5" s="93" t="s">
        <v>115</v>
      </c>
    </row>
    <row r="6" spans="1:11" x14ac:dyDescent="0.25">
      <c r="A6" s="94">
        <v>1</v>
      </c>
      <c r="B6" s="95" t="s">
        <v>116</v>
      </c>
      <c r="C6" s="96">
        <v>950</v>
      </c>
      <c r="D6" s="97">
        <f>C6*D$3</f>
        <v>950</v>
      </c>
      <c r="E6" s="98">
        <v>2.5</v>
      </c>
      <c r="F6" s="99">
        <f>E6*0</f>
        <v>0</v>
      </c>
      <c r="G6" s="100">
        <f>F6*D6</f>
        <v>0</v>
      </c>
      <c r="H6" s="101">
        <f>C6*F6</f>
        <v>0</v>
      </c>
      <c r="I6" s="102">
        <f>E6*200</f>
        <v>500</v>
      </c>
      <c r="J6" s="100">
        <f>D6*I6</f>
        <v>475000</v>
      </c>
      <c r="K6" s="103">
        <f t="shared" ref="K6:K17" si="0">C6*I6</f>
        <v>475000</v>
      </c>
    </row>
    <row r="7" spans="1:11" x14ac:dyDescent="0.25">
      <c r="A7" s="104">
        <v>2</v>
      </c>
      <c r="B7" s="105" t="s">
        <v>117</v>
      </c>
      <c r="C7" s="106">
        <v>270</v>
      </c>
      <c r="D7" s="97">
        <f>C7*D$3</f>
        <v>270</v>
      </c>
      <c r="E7" s="107">
        <v>15</v>
      </c>
      <c r="F7" s="99">
        <f t="shared" ref="F7:F17" si="1">E7*0</f>
        <v>0</v>
      </c>
      <c r="G7" s="100">
        <f t="shared" ref="G7:G17" si="2">F7*D7</f>
        <v>0</v>
      </c>
      <c r="H7" s="108">
        <f>C7*F7</f>
        <v>0</v>
      </c>
      <c r="I7" s="102">
        <f t="shared" ref="I7:I17" si="3">E7*200</f>
        <v>3000</v>
      </c>
      <c r="J7" s="100">
        <f t="shared" ref="J7:J17" si="4">D7*I7</f>
        <v>810000</v>
      </c>
      <c r="K7" s="109">
        <f t="shared" si="0"/>
        <v>810000</v>
      </c>
    </row>
    <row r="8" spans="1:11" x14ac:dyDescent="0.25">
      <c r="A8" s="104">
        <v>3</v>
      </c>
      <c r="B8" s="110" t="s">
        <v>118</v>
      </c>
      <c r="C8" s="106">
        <v>700</v>
      </c>
      <c r="D8" s="97">
        <f t="shared" ref="D8:D17" si="5">C8*D$3</f>
        <v>700</v>
      </c>
      <c r="E8" s="107">
        <v>15</v>
      </c>
      <c r="F8" s="99">
        <f t="shared" si="1"/>
        <v>0</v>
      </c>
      <c r="G8" s="100">
        <f t="shared" si="2"/>
        <v>0</v>
      </c>
      <c r="H8" s="108">
        <f t="shared" ref="H8:H17" si="6">C8*F8</f>
        <v>0</v>
      </c>
      <c r="I8" s="102">
        <f t="shared" si="3"/>
        <v>3000</v>
      </c>
      <c r="J8" s="100">
        <f t="shared" si="4"/>
        <v>2100000</v>
      </c>
      <c r="K8" s="109">
        <f t="shared" si="0"/>
        <v>2100000</v>
      </c>
    </row>
    <row r="9" spans="1:11" x14ac:dyDescent="0.25">
      <c r="A9" s="104">
        <v>4</v>
      </c>
      <c r="B9" s="110" t="s">
        <v>119</v>
      </c>
      <c r="C9" s="106">
        <v>550</v>
      </c>
      <c r="D9" s="97">
        <f t="shared" si="5"/>
        <v>550</v>
      </c>
      <c r="E9" s="107">
        <v>5</v>
      </c>
      <c r="F9" s="99">
        <f t="shared" si="1"/>
        <v>0</v>
      </c>
      <c r="G9" s="100">
        <f t="shared" si="2"/>
        <v>0</v>
      </c>
      <c r="H9" s="108">
        <f t="shared" si="6"/>
        <v>0</v>
      </c>
      <c r="I9" s="102">
        <f t="shared" si="3"/>
        <v>1000</v>
      </c>
      <c r="J9" s="100">
        <f t="shared" si="4"/>
        <v>550000</v>
      </c>
      <c r="K9" s="109">
        <f t="shared" si="0"/>
        <v>550000</v>
      </c>
    </row>
    <row r="10" spans="1:11" x14ac:dyDescent="0.25">
      <c r="A10" s="104">
        <v>5</v>
      </c>
      <c r="B10" s="110" t="s">
        <v>120</v>
      </c>
      <c r="C10" s="106">
        <v>1820</v>
      </c>
      <c r="D10" s="97">
        <f t="shared" si="5"/>
        <v>1820</v>
      </c>
      <c r="E10" s="107">
        <v>1</v>
      </c>
      <c r="F10" s="99">
        <f t="shared" si="1"/>
        <v>0</v>
      </c>
      <c r="G10" s="100">
        <f t="shared" si="2"/>
        <v>0</v>
      </c>
      <c r="H10" s="108">
        <f t="shared" si="6"/>
        <v>0</v>
      </c>
      <c r="I10" s="102">
        <f t="shared" si="3"/>
        <v>200</v>
      </c>
      <c r="J10" s="100">
        <f t="shared" si="4"/>
        <v>364000</v>
      </c>
      <c r="K10" s="109">
        <f t="shared" si="0"/>
        <v>364000</v>
      </c>
    </row>
    <row r="11" spans="1:11" x14ac:dyDescent="0.25">
      <c r="A11" s="104">
        <v>6</v>
      </c>
      <c r="B11" s="105" t="s">
        <v>121</v>
      </c>
      <c r="C11" s="106">
        <v>6400</v>
      </c>
      <c r="D11" s="97">
        <v>6400</v>
      </c>
      <c r="E11" s="107">
        <v>1</v>
      </c>
      <c r="F11" s="99">
        <f t="shared" si="1"/>
        <v>0</v>
      </c>
      <c r="G11" s="100">
        <f t="shared" si="2"/>
        <v>0</v>
      </c>
      <c r="H11" s="108">
        <f t="shared" si="6"/>
        <v>0</v>
      </c>
      <c r="I11" s="102">
        <f t="shared" si="3"/>
        <v>200</v>
      </c>
      <c r="J11" s="100">
        <f t="shared" si="4"/>
        <v>1280000</v>
      </c>
      <c r="K11" s="109">
        <f t="shared" si="0"/>
        <v>1280000</v>
      </c>
    </row>
    <row r="12" spans="1:11" x14ac:dyDescent="0.25">
      <c r="A12" s="104">
        <v>7</v>
      </c>
      <c r="B12" s="110" t="s">
        <v>122</v>
      </c>
      <c r="C12" s="106">
        <v>3850</v>
      </c>
      <c r="D12" s="97">
        <f t="shared" si="5"/>
        <v>3850</v>
      </c>
      <c r="E12" s="107">
        <v>0.6</v>
      </c>
      <c r="F12" s="99">
        <f t="shared" si="1"/>
        <v>0</v>
      </c>
      <c r="G12" s="100">
        <f t="shared" si="2"/>
        <v>0</v>
      </c>
      <c r="H12" s="108">
        <f t="shared" si="6"/>
        <v>0</v>
      </c>
      <c r="I12" s="102">
        <f t="shared" si="3"/>
        <v>120</v>
      </c>
      <c r="J12" s="100">
        <f t="shared" si="4"/>
        <v>462000</v>
      </c>
      <c r="K12" s="109">
        <f t="shared" si="0"/>
        <v>462000</v>
      </c>
    </row>
    <row r="13" spans="1:11" x14ac:dyDescent="0.25">
      <c r="A13" s="104">
        <v>8</v>
      </c>
      <c r="B13" s="110" t="s">
        <v>123</v>
      </c>
      <c r="C13" s="106">
        <v>5400</v>
      </c>
      <c r="D13" s="97">
        <f t="shared" si="5"/>
        <v>5400</v>
      </c>
      <c r="E13" s="107">
        <v>1</v>
      </c>
      <c r="F13" s="99">
        <f t="shared" si="1"/>
        <v>0</v>
      </c>
      <c r="G13" s="100">
        <f t="shared" si="2"/>
        <v>0</v>
      </c>
      <c r="H13" s="108">
        <f t="shared" si="6"/>
        <v>0</v>
      </c>
      <c r="I13" s="102">
        <f t="shared" si="3"/>
        <v>200</v>
      </c>
      <c r="J13" s="100">
        <f t="shared" si="4"/>
        <v>1080000</v>
      </c>
      <c r="K13" s="109">
        <f t="shared" si="0"/>
        <v>1080000</v>
      </c>
    </row>
    <row r="14" spans="1:11" x14ac:dyDescent="0.25">
      <c r="A14" s="104">
        <v>9</v>
      </c>
      <c r="B14" s="110" t="s">
        <v>124</v>
      </c>
      <c r="C14" s="106">
        <v>8600</v>
      </c>
      <c r="D14" s="97">
        <f t="shared" si="5"/>
        <v>8600</v>
      </c>
      <c r="E14" s="107">
        <v>1.6</v>
      </c>
      <c r="F14" s="99">
        <f t="shared" si="1"/>
        <v>0</v>
      </c>
      <c r="G14" s="100">
        <f t="shared" si="2"/>
        <v>0</v>
      </c>
      <c r="H14" s="108">
        <f t="shared" si="6"/>
        <v>0</v>
      </c>
      <c r="I14" s="102">
        <f t="shared" si="3"/>
        <v>320</v>
      </c>
      <c r="J14" s="100">
        <f t="shared" si="4"/>
        <v>2752000</v>
      </c>
      <c r="K14" s="109">
        <f t="shared" si="0"/>
        <v>2752000</v>
      </c>
    </row>
    <row r="15" spans="1:11" x14ac:dyDescent="0.25">
      <c r="A15" s="104">
        <v>10</v>
      </c>
      <c r="B15" s="110" t="s">
        <v>125</v>
      </c>
      <c r="C15" s="106">
        <v>7600</v>
      </c>
      <c r="D15" s="97">
        <f t="shared" si="5"/>
        <v>7600</v>
      </c>
      <c r="E15" s="107">
        <v>0.5</v>
      </c>
      <c r="F15" s="99">
        <f t="shared" si="1"/>
        <v>0</v>
      </c>
      <c r="G15" s="100">
        <f t="shared" si="2"/>
        <v>0</v>
      </c>
      <c r="H15" s="108">
        <f t="shared" si="6"/>
        <v>0</v>
      </c>
      <c r="I15" s="102">
        <f t="shared" si="3"/>
        <v>100</v>
      </c>
      <c r="J15" s="100">
        <f t="shared" si="4"/>
        <v>760000</v>
      </c>
      <c r="K15" s="109">
        <f t="shared" si="0"/>
        <v>760000</v>
      </c>
    </row>
    <row r="16" spans="1:11" x14ac:dyDescent="0.25">
      <c r="A16" s="104">
        <v>11</v>
      </c>
      <c r="B16" s="110" t="s">
        <v>126</v>
      </c>
      <c r="C16" s="106">
        <v>5400</v>
      </c>
      <c r="D16" s="97">
        <f t="shared" si="5"/>
        <v>5400</v>
      </c>
      <c r="E16" s="107">
        <v>1.5</v>
      </c>
      <c r="F16" s="99">
        <f t="shared" si="1"/>
        <v>0</v>
      </c>
      <c r="G16" s="100">
        <f t="shared" si="2"/>
        <v>0</v>
      </c>
      <c r="H16" s="108">
        <f t="shared" si="6"/>
        <v>0</v>
      </c>
      <c r="I16" s="102">
        <f t="shared" si="3"/>
        <v>300</v>
      </c>
      <c r="J16" s="100">
        <f t="shared" si="4"/>
        <v>1620000</v>
      </c>
      <c r="K16" s="109">
        <f t="shared" si="0"/>
        <v>1620000</v>
      </c>
    </row>
    <row r="17" spans="1:11" ht="15.75" thickBot="1" x14ac:dyDescent="0.3">
      <c r="A17" s="111">
        <v>12</v>
      </c>
      <c r="B17" s="112" t="s">
        <v>127</v>
      </c>
      <c r="C17" s="113">
        <v>8900</v>
      </c>
      <c r="D17" s="97">
        <f t="shared" si="5"/>
        <v>8900</v>
      </c>
      <c r="E17" s="114">
        <v>1</v>
      </c>
      <c r="F17" s="99">
        <f t="shared" si="1"/>
        <v>0</v>
      </c>
      <c r="G17" s="100">
        <f t="shared" si="2"/>
        <v>0</v>
      </c>
      <c r="H17" s="115">
        <f t="shared" si="6"/>
        <v>0</v>
      </c>
      <c r="I17" s="102">
        <f t="shared" si="3"/>
        <v>200</v>
      </c>
      <c r="J17" s="100">
        <f t="shared" si="4"/>
        <v>1780000</v>
      </c>
      <c r="K17" s="116">
        <f t="shared" si="0"/>
        <v>1780000</v>
      </c>
    </row>
    <row r="18" spans="1:11" ht="15.75" thickBot="1" x14ac:dyDescent="0.3">
      <c r="A18" s="117"/>
      <c r="B18" s="118" t="s">
        <v>128</v>
      </c>
      <c r="C18" s="119"/>
      <c r="D18" s="120"/>
      <c r="E18" s="120"/>
      <c r="F18" s="121"/>
      <c r="G18" s="122">
        <f>SUM(G6:G17)</f>
        <v>0</v>
      </c>
      <c r="H18" s="123">
        <f>SUM(H6:H17)</f>
        <v>0</v>
      </c>
      <c r="I18" s="124"/>
      <c r="J18" s="125">
        <f>SUM(J6:J17)</f>
        <v>14033000</v>
      </c>
      <c r="K18" s="126">
        <f>SUM(K6:K17)</f>
        <v>14033000</v>
      </c>
    </row>
    <row r="19" spans="1:11" ht="15.75" thickBot="1" x14ac:dyDescent="0.3">
      <c r="A19" s="127"/>
      <c r="B19" s="128" t="s">
        <v>129</v>
      </c>
      <c r="C19" s="129"/>
      <c r="D19" s="129"/>
      <c r="E19" s="129"/>
      <c r="F19" s="130"/>
      <c r="G19" s="131">
        <f>G18/182.43</f>
        <v>0</v>
      </c>
      <c r="H19" s="132">
        <f>H18/182.43</f>
        <v>0</v>
      </c>
      <c r="I19" s="130"/>
      <c r="J19" s="130"/>
      <c r="K19" s="132">
        <f>K18/200</f>
        <v>70165</v>
      </c>
    </row>
    <row r="20" spans="1:11" x14ac:dyDescent="0.25">
      <c r="A20" s="133" t="s">
        <v>130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</row>
    <row r="21" spans="1:11" ht="15.75" thickBot="1" x14ac:dyDescent="0.3">
      <c r="A21" s="135"/>
      <c r="B21" s="136"/>
      <c r="C21" s="137"/>
      <c r="D21" s="137"/>
      <c r="E21" s="137"/>
      <c r="F21" s="137"/>
      <c r="G21" s="137"/>
      <c r="H21" s="137"/>
      <c r="I21" s="137"/>
      <c r="J21" s="137"/>
      <c r="K21" s="137"/>
    </row>
    <row r="22" spans="1:11" ht="15.75" thickBot="1" x14ac:dyDescent="0.3">
      <c r="A22" s="138">
        <v>1</v>
      </c>
      <c r="B22" s="139" t="s">
        <v>131</v>
      </c>
      <c r="C22" s="140">
        <v>1140</v>
      </c>
      <c r="D22" s="141">
        <f>C22*D$3</f>
        <v>1140</v>
      </c>
      <c r="E22" s="142">
        <v>3</v>
      </c>
      <c r="F22" s="99">
        <f t="shared" ref="F22:F29" si="7">E22*0</f>
        <v>0</v>
      </c>
      <c r="G22" s="143">
        <f>D22*F22</f>
        <v>0</v>
      </c>
      <c r="H22" s="144">
        <f>C22*F22</f>
        <v>0</v>
      </c>
      <c r="I22" s="102">
        <f t="shared" ref="I22:I29" si="8">E22*200</f>
        <v>600</v>
      </c>
      <c r="J22" s="143">
        <f>D22*I22</f>
        <v>684000</v>
      </c>
      <c r="K22" s="145">
        <f t="shared" ref="K22:K29" si="9">C22*I22</f>
        <v>684000</v>
      </c>
    </row>
    <row r="23" spans="1:11" ht="15.75" thickBot="1" x14ac:dyDescent="0.3">
      <c r="A23" s="138">
        <v>2</v>
      </c>
      <c r="B23" s="139" t="s">
        <v>132</v>
      </c>
      <c r="C23" s="146">
        <v>1050</v>
      </c>
      <c r="D23" s="141">
        <f t="shared" ref="D23:D29" si="10">C23*D$3</f>
        <v>1050</v>
      </c>
      <c r="E23" s="147">
        <v>3</v>
      </c>
      <c r="F23" s="99">
        <f t="shared" si="7"/>
        <v>0</v>
      </c>
      <c r="G23" s="143">
        <f t="shared" ref="G23:G29" si="11">D23*F23</f>
        <v>0</v>
      </c>
      <c r="H23" s="148">
        <f t="shared" ref="H23:H29" si="12">C23*F23</f>
        <v>0</v>
      </c>
      <c r="I23" s="102">
        <f t="shared" si="8"/>
        <v>600</v>
      </c>
      <c r="J23" s="143">
        <f t="shared" ref="J23:J29" si="13">D23*I23</f>
        <v>630000</v>
      </c>
      <c r="K23" s="149">
        <f t="shared" si="9"/>
        <v>630000</v>
      </c>
    </row>
    <row r="24" spans="1:11" ht="15.75" thickBot="1" x14ac:dyDescent="0.3">
      <c r="A24" s="138">
        <v>3</v>
      </c>
      <c r="B24" s="139" t="s">
        <v>133</v>
      </c>
      <c r="C24" s="146">
        <v>1750</v>
      </c>
      <c r="D24" s="141">
        <f t="shared" si="10"/>
        <v>1750</v>
      </c>
      <c r="E24" s="147">
        <v>1</v>
      </c>
      <c r="F24" s="99">
        <f t="shared" si="7"/>
        <v>0</v>
      </c>
      <c r="G24" s="143">
        <f t="shared" si="11"/>
        <v>0</v>
      </c>
      <c r="H24" s="148">
        <f t="shared" si="12"/>
        <v>0</v>
      </c>
      <c r="I24" s="102">
        <f t="shared" si="8"/>
        <v>200</v>
      </c>
      <c r="J24" s="143">
        <f t="shared" si="13"/>
        <v>350000</v>
      </c>
      <c r="K24" s="149">
        <f t="shared" si="9"/>
        <v>350000</v>
      </c>
    </row>
    <row r="25" spans="1:11" ht="15.75" thickBot="1" x14ac:dyDescent="0.3">
      <c r="A25" s="138">
        <v>4</v>
      </c>
      <c r="B25" s="139" t="s">
        <v>134</v>
      </c>
      <c r="C25" s="146">
        <v>1280</v>
      </c>
      <c r="D25" s="141">
        <f t="shared" si="10"/>
        <v>1280</v>
      </c>
      <c r="E25" s="147">
        <v>1</v>
      </c>
      <c r="F25" s="99">
        <f t="shared" si="7"/>
        <v>0</v>
      </c>
      <c r="G25" s="143">
        <f t="shared" si="11"/>
        <v>0</v>
      </c>
      <c r="H25" s="148">
        <f t="shared" si="12"/>
        <v>0</v>
      </c>
      <c r="I25" s="102">
        <f t="shared" si="8"/>
        <v>200</v>
      </c>
      <c r="J25" s="143">
        <f t="shared" si="13"/>
        <v>256000</v>
      </c>
      <c r="K25" s="149">
        <f t="shared" si="9"/>
        <v>256000</v>
      </c>
    </row>
    <row r="26" spans="1:11" ht="15.75" thickBot="1" x14ac:dyDescent="0.3">
      <c r="A26" s="138">
        <v>5</v>
      </c>
      <c r="B26" s="139" t="s">
        <v>135</v>
      </c>
      <c r="C26" s="146">
        <v>190</v>
      </c>
      <c r="D26" s="141">
        <f t="shared" si="10"/>
        <v>190</v>
      </c>
      <c r="E26" s="147">
        <v>2</v>
      </c>
      <c r="F26" s="99">
        <f t="shared" si="7"/>
        <v>0</v>
      </c>
      <c r="G26" s="143">
        <f t="shared" si="11"/>
        <v>0</v>
      </c>
      <c r="H26" s="148">
        <f t="shared" si="12"/>
        <v>0</v>
      </c>
      <c r="I26" s="102">
        <f t="shared" si="8"/>
        <v>400</v>
      </c>
      <c r="J26" s="143">
        <f t="shared" si="13"/>
        <v>76000</v>
      </c>
      <c r="K26" s="149">
        <f t="shared" si="9"/>
        <v>76000</v>
      </c>
    </row>
    <row r="27" spans="1:11" ht="15.75" thickBot="1" x14ac:dyDescent="0.3">
      <c r="A27" s="138">
        <v>6</v>
      </c>
      <c r="B27" s="139" t="s">
        <v>136</v>
      </c>
      <c r="C27" s="146">
        <v>190</v>
      </c>
      <c r="D27" s="141">
        <f t="shared" si="10"/>
        <v>190</v>
      </c>
      <c r="E27" s="147">
        <v>2</v>
      </c>
      <c r="F27" s="99">
        <f t="shared" si="7"/>
        <v>0</v>
      </c>
      <c r="G27" s="143">
        <f t="shared" si="11"/>
        <v>0</v>
      </c>
      <c r="H27" s="148">
        <f t="shared" si="12"/>
        <v>0</v>
      </c>
      <c r="I27" s="102">
        <f t="shared" si="8"/>
        <v>400</v>
      </c>
      <c r="J27" s="143">
        <f t="shared" si="13"/>
        <v>76000</v>
      </c>
      <c r="K27" s="149">
        <f t="shared" si="9"/>
        <v>76000</v>
      </c>
    </row>
    <row r="28" spans="1:11" ht="15.75" thickBot="1" x14ac:dyDescent="0.3">
      <c r="A28" s="138">
        <v>7</v>
      </c>
      <c r="B28" s="150" t="s">
        <v>137</v>
      </c>
      <c r="C28" s="146">
        <v>225</v>
      </c>
      <c r="D28" s="141">
        <f t="shared" si="10"/>
        <v>225</v>
      </c>
      <c r="E28" s="147">
        <v>1</v>
      </c>
      <c r="F28" s="99">
        <f t="shared" si="7"/>
        <v>0</v>
      </c>
      <c r="G28" s="143">
        <f t="shared" si="11"/>
        <v>0</v>
      </c>
      <c r="H28" s="148">
        <f t="shared" si="12"/>
        <v>0</v>
      </c>
      <c r="I28" s="102">
        <f t="shared" si="8"/>
        <v>200</v>
      </c>
      <c r="J28" s="143">
        <f t="shared" si="13"/>
        <v>45000</v>
      </c>
      <c r="K28" s="149">
        <f t="shared" si="9"/>
        <v>45000</v>
      </c>
    </row>
    <row r="29" spans="1:11" x14ac:dyDescent="0.25">
      <c r="A29" s="138">
        <v>8</v>
      </c>
      <c r="B29" s="139" t="s">
        <v>138</v>
      </c>
      <c r="C29" s="146">
        <v>45</v>
      </c>
      <c r="D29" s="141">
        <f t="shared" si="10"/>
        <v>45</v>
      </c>
      <c r="E29" s="147">
        <v>300</v>
      </c>
      <c r="F29" s="99">
        <f t="shared" si="7"/>
        <v>0</v>
      </c>
      <c r="G29" s="143">
        <f t="shared" si="11"/>
        <v>0</v>
      </c>
      <c r="H29" s="148">
        <f t="shared" si="12"/>
        <v>0</v>
      </c>
      <c r="I29" s="102">
        <f t="shared" si="8"/>
        <v>60000</v>
      </c>
      <c r="J29" s="143">
        <f t="shared" si="13"/>
        <v>2700000</v>
      </c>
      <c r="K29" s="149">
        <f t="shared" si="9"/>
        <v>2700000</v>
      </c>
    </row>
    <row r="30" spans="1:11" ht="15.75" thickBot="1" x14ac:dyDescent="0.3">
      <c r="A30" s="138"/>
      <c r="B30" s="151" t="s">
        <v>139</v>
      </c>
      <c r="C30" s="152"/>
      <c r="D30" s="153"/>
      <c r="E30" s="154"/>
      <c r="F30" s="152"/>
      <c r="G30" s="155">
        <f>SUM(G22:G29)</f>
        <v>0</v>
      </c>
      <c r="H30" s="156">
        <f>SUM(H22:H29)</f>
        <v>0</v>
      </c>
      <c r="I30" s="157"/>
      <c r="J30" s="158">
        <f>SUM(J22:J29)</f>
        <v>4817000</v>
      </c>
      <c r="K30" s="159">
        <f>SUM(K22:K29)</f>
        <v>4817000</v>
      </c>
    </row>
    <row r="31" spans="1:11" x14ac:dyDescent="0.25">
      <c r="B31" s="160" t="s">
        <v>129</v>
      </c>
      <c r="G31" s="161">
        <f>G30/182.43</f>
        <v>0</v>
      </c>
      <c r="H31" s="162">
        <f>H30/182.43</f>
        <v>0</v>
      </c>
      <c r="K31" s="162">
        <f>K30/200</f>
        <v>24085</v>
      </c>
    </row>
    <row r="35" s="163" customFormat="1" ht="11.25" x14ac:dyDescent="0.2"/>
  </sheetData>
  <mergeCells count="8">
    <mergeCell ref="A20:K21"/>
    <mergeCell ref="A2:K2"/>
    <mergeCell ref="A4:A5"/>
    <mergeCell ref="B4:B5"/>
    <mergeCell ref="C4:C5"/>
    <mergeCell ref="E4:E5"/>
    <mergeCell ref="F4:H4"/>
    <mergeCell ref="I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62AC-AB23-430B-A83A-875A159163F2}">
  <dimension ref="A1:H43"/>
  <sheetViews>
    <sheetView tabSelected="1" workbookViewId="0">
      <selection activeCell="I17" sqref="I17"/>
    </sheetView>
  </sheetViews>
  <sheetFormatPr defaultRowHeight="15" x14ac:dyDescent="0.25"/>
  <cols>
    <col min="1" max="1" width="5.7109375" style="166" customWidth="1"/>
    <col min="2" max="2" width="27.5703125" style="166" customWidth="1"/>
    <col min="3" max="3" width="8.7109375" style="166" customWidth="1"/>
    <col min="4" max="4" width="10.7109375" style="166" customWidth="1"/>
    <col min="5" max="5" width="11.140625" style="166" customWidth="1"/>
    <col min="6" max="6" width="11.5703125" style="166" customWidth="1"/>
    <col min="7" max="8" width="13.42578125" style="166" customWidth="1"/>
    <col min="9" max="239" width="9.140625" style="166"/>
    <col min="240" max="240" width="5.7109375" style="166" customWidth="1"/>
    <col min="241" max="241" width="22" style="166" customWidth="1"/>
    <col min="242" max="242" width="12.42578125" style="166" customWidth="1"/>
    <col min="243" max="243" width="12.7109375" style="166" customWidth="1"/>
    <col min="244" max="245" width="10.7109375" style="166" customWidth="1"/>
    <col min="246" max="246" width="13.140625" style="166" customWidth="1"/>
    <col min="247" max="247" width="13.7109375" style="166" customWidth="1"/>
    <col min="248" max="248" width="9.42578125" style="166" customWidth="1"/>
    <col min="249" max="249" width="17.85546875" style="166" customWidth="1"/>
    <col min="250" max="250" width="12.140625" style="166" bestFit="1" customWidth="1"/>
    <col min="251" max="251" width="11.140625" style="166" bestFit="1" customWidth="1"/>
    <col min="252" max="252" width="9.140625" style="166"/>
    <col min="253" max="253" width="11.140625" style="166" bestFit="1" customWidth="1"/>
    <col min="254" max="254" width="19.85546875" style="166" customWidth="1"/>
    <col min="255" max="495" width="9.140625" style="166"/>
    <col min="496" max="496" width="5.7109375" style="166" customWidth="1"/>
    <col min="497" max="497" width="22" style="166" customWidth="1"/>
    <col min="498" max="498" width="12.42578125" style="166" customWidth="1"/>
    <col min="499" max="499" width="12.7109375" style="166" customWidth="1"/>
    <col min="500" max="501" width="10.7109375" style="166" customWidth="1"/>
    <col min="502" max="502" width="13.140625" style="166" customWidth="1"/>
    <col min="503" max="503" width="13.7109375" style="166" customWidth="1"/>
    <col min="504" max="504" width="9.42578125" style="166" customWidth="1"/>
    <col min="505" max="505" width="17.85546875" style="166" customWidth="1"/>
    <col min="506" max="506" width="12.140625" style="166" bestFit="1" customWidth="1"/>
    <col min="507" max="507" width="11.140625" style="166" bestFit="1" customWidth="1"/>
    <col min="508" max="508" width="9.140625" style="166"/>
    <col min="509" max="509" width="11.140625" style="166" bestFit="1" customWidth="1"/>
    <col min="510" max="510" width="19.85546875" style="166" customWidth="1"/>
    <col min="511" max="751" width="9.140625" style="166"/>
    <col min="752" max="752" width="5.7109375" style="166" customWidth="1"/>
    <col min="753" max="753" width="22" style="166" customWidth="1"/>
    <col min="754" max="754" width="12.42578125" style="166" customWidth="1"/>
    <col min="755" max="755" width="12.7109375" style="166" customWidth="1"/>
    <col min="756" max="757" width="10.7109375" style="166" customWidth="1"/>
    <col min="758" max="758" width="13.140625" style="166" customWidth="1"/>
    <col min="759" max="759" width="13.7109375" style="166" customWidth="1"/>
    <col min="760" max="760" width="9.42578125" style="166" customWidth="1"/>
    <col min="761" max="761" width="17.85546875" style="166" customWidth="1"/>
    <col min="762" max="762" width="12.140625" style="166" bestFit="1" customWidth="1"/>
    <col min="763" max="763" width="11.140625" style="166" bestFit="1" customWidth="1"/>
    <col min="764" max="764" width="9.140625" style="166"/>
    <col min="765" max="765" width="11.140625" style="166" bestFit="1" customWidth="1"/>
    <col min="766" max="766" width="19.85546875" style="166" customWidth="1"/>
    <col min="767" max="1007" width="9.140625" style="166"/>
    <col min="1008" max="1008" width="5.7109375" style="166" customWidth="1"/>
    <col min="1009" max="1009" width="22" style="166" customWidth="1"/>
    <col min="1010" max="1010" width="12.42578125" style="166" customWidth="1"/>
    <col min="1011" max="1011" width="12.7109375" style="166" customWidth="1"/>
    <col min="1012" max="1013" width="10.7109375" style="166" customWidth="1"/>
    <col min="1014" max="1014" width="13.140625" style="166" customWidth="1"/>
    <col min="1015" max="1015" width="13.7109375" style="166" customWidth="1"/>
    <col min="1016" max="1016" width="9.42578125" style="166" customWidth="1"/>
    <col min="1017" max="1017" width="17.85546875" style="166" customWidth="1"/>
    <col min="1018" max="1018" width="12.140625" style="166" bestFit="1" customWidth="1"/>
    <col min="1019" max="1019" width="11.140625" style="166" bestFit="1" customWidth="1"/>
    <col min="1020" max="1020" width="9.140625" style="166"/>
    <col min="1021" max="1021" width="11.140625" style="166" bestFit="1" customWidth="1"/>
    <col min="1022" max="1022" width="19.85546875" style="166" customWidth="1"/>
    <col min="1023" max="1263" width="9.140625" style="166"/>
    <col min="1264" max="1264" width="5.7109375" style="166" customWidth="1"/>
    <col min="1265" max="1265" width="22" style="166" customWidth="1"/>
    <col min="1266" max="1266" width="12.42578125" style="166" customWidth="1"/>
    <col min="1267" max="1267" width="12.7109375" style="166" customWidth="1"/>
    <col min="1268" max="1269" width="10.7109375" style="166" customWidth="1"/>
    <col min="1270" max="1270" width="13.140625" style="166" customWidth="1"/>
    <col min="1271" max="1271" width="13.7109375" style="166" customWidth="1"/>
    <col min="1272" max="1272" width="9.42578125" style="166" customWidth="1"/>
    <col min="1273" max="1273" width="17.85546875" style="166" customWidth="1"/>
    <col min="1274" max="1274" width="12.140625" style="166" bestFit="1" customWidth="1"/>
    <col min="1275" max="1275" width="11.140625" style="166" bestFit="1" customWidth="1"/>
    <col min="1276" max="1276" width="9.140625" style="166"/>
    <col min="1277" max="1277" width="11.140625" style="166" bestFit="1" customWidth="1"/>
    <col min="1278" max="1278" width="19.85546875" style="166" customWidth="1"/>
    <col min="1279" max="1519" width="9.140625" style="166"/>
    <col min="1520" max="1520" width="5.7109375" style="166" customWidth="1"/>
    <col min="1521" max="1521" width="22" style="166" customWidth="1"/>
    <col min="1522" max="1522" width="12.42578125" style="166" customWidth="1"/>
    <col min="1523" max="1523" width="12.7109375" style="166" customWidth="1"/>
    <col min="1524" max="1525" width="10.7109375" style="166" customWidth="1"/>
    <col min="1526" max="1526" width="13.140625" style="166" customWidth="1"/>
    <col min="1527" max="1527" width="13.7109375" style="166" customWidth="1"/>
    <col min="1528" max="1528" width="9.42578125" style="166" customWidth="1"/>
    <col min="1529" max="1529" width="17.85546875" style="166" customWidth="1"/>
    <col min="1530" max="1530" width="12.140625" style="166" bestFit="1" customWidth="1"/>
    <col min="1531" max="1531" width="11.140625" style="166" bestFit="1" customWidth="1"/>
    <col min="1532" max="1532" width="9.140625" style="166"/>
    <col min="1533" max="1533" width="11.140625" style="166" bestFit="1" customWidth="1"/>
    <col min="1534" max="1534" width="19.85546875" style="166" customWidth="1"/>
    <col min="1535" max="1775" width="9.140625" style="166"/>
    <col min="1776" max="1776" width="5.7109375" style="166" customWidth="1"/>
    <col min="1777" max="1777" width="22" style="166" customWidth="1"/>
    <col min="1778" max="1778" width="12.42578125" style="166" customWidth="1"/>
    <col min="1779" max="1779" width="12.7109375" style="166" customWidth="1"/>
    <col min="1780" max="1781" width="10.7109375" style="166" customWidth="1"/>
    <col min="1782" max="1782" width="13.140625" style="166" customWidth="1"/>
    <col min="1783" max="1783" width="13.7109375" style="166" customWidth="1"/>
    <col min="1784" max="1784" width="9.42578125" style="166" customWidth="1"/>
    <col min="1785" max="1785" width="17.85546875" style="166" customWidth="1"/>
    <col min="1786" max="1786" width="12.140625" style="166" bestFit="1" customWidth="1"/>
    <col min="1787" max="1787" width="11.140625" style="166" bestFit="1" customWidth="1"/>
    <col min="1788" max="1788" width="9.140625" style="166"/>
    <col min="1789" max="1789" width="11.140625" style="166" bestFit="1" customWidth="1"/>
    <col min="1790" max="1790" width="19.85546875" style="166" customWidth="1"/>
    <col min="1791" max="2031" width="9.140625" style="166"/>
    <col min="2032" max="2032" width="5.7109375" style="166" customWidth="1"/>
    <col min="2033" max="2033" width="22" style="166" customWidth="1"/>
    <col min="2034" max="2034" width="12.42578125" style="166" customWidth="1"/>
    <col min="2035" max="2035" width="12.7109375" style="166" customWidth="1"/>
    <col min="2036" max="2037" width="10.7109375" style="166" customWidth="1"/>
    <col min="2038" max="2038" width="13.140625" style="166" customWidth="1"/>
    <col min="2039" max="2039" width="13.7109375" style="166" customWidth="1"/>
    <col min="2040" max="2040" width="9.42578125" style="166" customWidth="1"/>
    <col min="2041" max="2041" width="17.85546875" style="166" customWidth="1"/>
    <col min="2042" max="2042" width="12.140625" style="166" bestFit="1" customWidth="1"/>
    <col min="2043" max="2043" width="11.140625" style="166" bestFit="1" customWidth="1"/>
    <col min="2044" max="2044" width="9.140625" style="166"/>
    <col min="2045" max="2045" width="11.140625" style="166" bestFit="1" customWidth="1"/>
    <col min="2046" max="2046" width="19.85546875" style="166" customWidth="1"/>
    <col min="2047" max="2287" width="9.140625" style="166"/>
    <col min="2288" max="2288" width="5.7109375" style="166" customWidth="1"/>
    <col min="2289" max="2289" width="22" style="166" customWidth="1"/>
    <col min="2290" max="2290" width="12.42578125" style="166" customWidth="1"/>
    <col min="2291" max="2291" width="12.7109375" style="166" customWidth="1"/>
    <col min="2292" max="2293" width="10.7109375" style="166" customWidth="1"/>
    <col min="2294" max="2294" width="13.140625" style="166" customWidth="1"/>
    <col min="2295" max="2295" width="13.7109375" style="166" customWidth="1"/>
    <col min="2296" max="2296" width="9.42578125" style="166" customWidth="1"/>
    <col min="2297" max="2297" width="17.85546875" style="166" customWidth="1"/>
    <col min="2298" max="2298" width="12.140625" style="166" bestFit="1" customWidth="1"/>
    <col min="2299" max="2299" width="11.140625" style="166" bestFit="1" customWidth="1"/>
    <col min="2300" max="2300" width="9.140625" style="166"/>
    <col min="2301" max="2301" width="11.140625" style="166" bestFit="1" customWidth="1"/>
    <col min="2302" max="2302" width="19.85546875" style="166" customWidth="1"/>
    <col min="2303" max="2543" width="9.140625" style="166"/>
    <col min="2544" max="2544" width="5.7109375" style="166" customWidth="1"/>
    <col min="2545" max="2545" width="22" style="166" customWidth="1"/>
    <col min="2546" max="2546" width="12.42578125" style="166" customWidth="1"/>
    <col min="2547" max="2547" width="12.7109375" style="166" customWidth="1"/>
    <col min="2548" max="2549" width="10.7109375" style="166" customWidth="1"/>
    <col min="2550" max="2550" width="13.140625" style="166" customWidth="1"/>
    <col min="2551" max="2551" width="13.7109375" style="166" customWidth="1"/>
    <col min="2552" max="2552" width="9.42578125" style="166" customWidth="1"/>
    <col min="2553" max="2553" width="17.85546875" style="166" customWidth="1"/>
    <col min="2554" max="2554" width="12.140625" style="166" bestFit="1" customWidth="1"/>
    <col min="2555" max="2555" width="11.140625" style="166" bestFit="1" customWidth="1"/>
    <col min="2556" max="2556" width="9.140625" style="166"/>
    <col min="2557" max="2557" width="11.140625" style="166" bestFit="1" customWidth="1"/>
    <col min="2558" max="2558" width="19.85546875" style="166" customWidth="1"/>
    <col min="2559" max="2799" width="9.140625" style="166"/>
    <col min="2800" max="2800" width="5.7109375" style="166" customWidth="1"/>
    <col min="2801" max="2801" width="22" style="166" customWidth="1"/>
    <col min="2802" max="2802" width="12.42578125" style="166" customWidth="1"/>
    <col min="2803" max="2803" width="12.7109375" style="166" customWidth="1"/>
    <col min="2804" max="2805" width="10.7109375" style="166" customWidth="1"/>
    <col min="2806" max="2806" width="13.140625" style="166" customWidth="1"/>
    <col min="2807" max="2807" width="13.7109375" style="166" customWidth="1"/>
    <col min="2808" max="2808" width="9.42578125" style="166" customWidth="1"/>
    <col min="2809" max="2809" width="17.85546875" style="166" customWidth="1"/>
    <col min="2810" max="2810" width="12.140625" style="166" bestFit="1" customWidth="1"/>
    <col min="2811" max="2811" width="11.140625" style="166" bestFit="1" customWidth="1"/>
    <col min="2812" max="2812" width="9.140625" style="166"/>
    <col min="2813" max="2813" width="11.140625" style="166" bestFit="1" customWidth="1"/>
    <col min="2814" max="2814" width="19.85546875" style="166" customWidth="1"/>
    <col min="2815" max="3055" width="9.140625" style="166"/>
    <col min="3056" max="3056" width="5.7109375" style="166" customWidth="1"/>
    <col min="3057" max="3057" width="22" style="166" customWidth="1"/>
    <col min="3058" max="3058" width="12.42578125" style="166" customWidth="1"/>
    <col min="3059" max="3059" width="12.7109375" style="166" customWidth="1"/>
    <col min="3060" max="3061" width="10.7109375" style="166" customWidth="1"/>
    <col min="3062" max="3062" width="13.140625" style="166" customWidth="1"/>
    <col min="3063" max="3063" width="13.7109375" style="166" customWidth="1"/>
    <col min="3064" max="3064" width="9.42578125" style="166" customWidth="1"/>
    <col min="3065" max="3065" width="17.85546875" style="166" customWidth="1"/>
    <col min="3066" max="3066" width="12.140625" style="166" bestFit="1" customWidth="1"/>
    <col min="3067" max="3067" width="11.140625" style="166" bestFit="1" customWidth="1"/>
    <col min="3068" max="3068" width="9.140625" style="166"/>
    <col min="3069" max="3069" width="11.140625" style="166" bestFit="1" customWidth="1"/>
    <col min="3070" max="3070" width="19.85546875" style="166" customWidth="1"/>
    <col min="3071" max="3311" width="9.140625" style="166"/>
    <col min="3312" max="3312" width="5.7109375" style="166" customWidth="1"/>
    <col min="3313" max="3313" width="22" style="166" customWidth="1"/>
    <col min="3314" max="3314" width="12.42578125" style="166" customWidth="1"/>
    <col min="3315" max="3315" width="12.7109375" style="166" customWidth="1"/>
    <col min="3316" max="3317" width="10.7109375" style="166" customWidth="1"/>
    <col min="3318" max="3318" width="13.140625" style="166" customWidth="1"/>
    <col min="3319" max="3319" width="13.7109375" style="166" customWidth="1"/>
    <col min="3320" max="3320" width="9.42578125" style="166" customWidth="1"/>
    <col min="3321" max="3321" width="17.85546875" style="166" customWidth="1"/>
    <col min="3322" max="3322" width="12.140625" style="166" bestFit="1" customWidth="1"/>
    <col min="3323" max="3323" width="11.140625" style="166" bestFit="1" customWidth="1"/>
    <col min="3324" max="3324" width="9.140625" style="166"/>
    <col min="3325" max="3325" width="11.140625" style="166" bestFit="1" customWidth="1"/>
    <col min="3326" max="3326" width="19.85546875" style="166" customWidth="1"/>
    <col min="3327" max="3567" width="9.140625" style="166"/>
    <col min="3568" max="3568" width="5.7109375" style="166" customWidth="1"/>
    <col min="3569" max="3569" width="22" style="166" customWidth="1"/>
    <col min="3570" max="3570" width="12.42578125" style="166" customWidth="1"/>
    <col min="3571" max="3571" width="12.7109375" style="166" customWidth="1"/>
    <col min="3572" max="3573" width="10.7109375" style="166" customWidth="1"/>
    <col min="3574" max="3574" width="13.140625" style="166" customWidth="1"/>
    <col min="3575" max="3575" width="13.7109375" style="166" customWidth="1"/>
    <col min="3576" max="3576" width="9.42578125" style="166" customWidth="1"/>
    <col min="3577" max="3577" width="17.85546875" style="166" customWidth="1"/>
    <col min="3578" max="3578" width="12.140625" style="166" bestFit="1" customWidth="1"/>
    <col min="3579" max="3579" width="11.140625" style="166" bestFit="1" customWidth="1"/>
    <col min="3580" max="3580" width="9.140625" style="166"/>
    <col min="3581" max="3581" width="11.140625" style="166" bestFit="1" customWidth="1"/>
    <col min="3582" max="3582" width="19.85546875" style="166" customWidth="1"/>
    <col min="3583" max="3823" width="9.140625" style="166"/>
    <col min="3824" max="3824" width="5.7109375" style="166" customWidth="1"/>
    <col min="3825" max="3825" width="22" style="166" customWidth="1"/>
    <col min="3826" max="3826" width="12.42578125" style="166" customWidth="1"/>
    <col min="3827" max="3827" width="12.7109375" style="166" customWidth="1"/>
    <col min="3828" max="3829" width="10.7109375" style="166" customWidth="1"/>
    <col min="3830" max="3830" width="13.140625" style="166" customWidth="1"/>
    <col min="3831" max="3831" width="13.7109375" style="166" customWidth="1"/>
    <col min="3832" max="3832" width="9.42578125" style="166" customWidth="1"/>
    <col min="3833" max="3833" width="17.85546875" style="166" customWidth="1"/>
    <col min="3834" max="3834" width="12.140625" style="166" bestFit="1" customWidth="1"/>
    <col min="3835" max="3835" width="11.140625" style="166" bestFit="1" customWidth="1"/>
    <col min="3836" max="3836" width="9.140625" style="166"/>
    <col min="3837" max="3837" width="11.140625" style="166" bestFit="1" customWidth="1"/>
    <col min="3838" max="3838" width="19.85546875" style="166" customWidth="1"/>
    <col min="3839" max="4079" width="9.140625" style="166"/>
    <col min="4080" max="4080" width="5.7109375" style="166" customWidth="1"/>
    <col min="4081" max="4081" width="22" style="166" customWidth="1"/>
    <col min="4082" max="4082" width="12.42578125" style="166" customWidth="1"/>
    <col min="4083" max="4083" width="12.7109375" style="166" customWidth="1"/>
    <col min="4084" max="4085" width="10.7109375" style="166" customWidth="1"/>
    <col min="4086" max="4086" width="13.140625" style="166" customWidth="1"/>
    <col min="4087" max="4087" width="13.7109375" style="166" customWidth="1"/>
    <col min="4088" max="4088" width="9.42578125" style="166" customWidth="1"/>
    <col min="4089" max="4089" width="17.85546875" style="166" customWidth="1"/>
    <col min="4090" max="4090" width="12.140625" style="166" bestFit="1" customWidth="1"/>
    <col min="4091" max="4091" width="11.140625" style="166" bestFit="1" customWidth="1"/>
    <col min="4092" max="4092" width="9.140625" style="166"/>
    <col min="4093" max="4093" width="11.140625" style="166" bestFit="1" customWidth="1"/>
    <col min="4094" max="4094" width="19.85546875" style="166" customWidth="1"/>
    <col min="4095" max="4335" width="9.140625" style="166"/>
    <col min="4336" max="4336" width="5.7109375" style="166" customWidth="1"/>
    <col min="4337" max="4337" width="22" style="166" customWidth="1"/>
    <col min="4338" max="4338" width="12.42578125" style="166" customWidth="1"/>
    <col min="4339" max="4339" width="12.7109375" style="166" customWidth="1"/>
    <col min="4340" max="4341" width="10.7109375" style="166" customWidth="1"/>
    <col min="4342" max="4342" width="13.140625" style="166" customWidth="1"/>
    <col min="4343" max="4343" width="13.7109375" style="166" customWidth="1"/>
    <col min="4344" max="4344" width="9.42578125" style="166" customWidth="1"/>
    <col min="4345" max="4345" width="17.85546875" style="166" customWidth="1"/>
    <col min="4346" max="4346" width="12.140625" style="166" bestFit="1" customWidth="1"/>
    <col min="4347" max="4347" width="11.140625" style="166" bestFit="1" customWidth="1"/>
    <col min="4348" max="4348" width="9.140625" style="166"/>
    <col min="4349" max="4349" width="11.140625" style="166" bestFit="1" customWidth="1"/>
    <col min="4350" max="4350" width="19.85546875" style="166" customWidth="1"/>
    <col min="4351" max="4591" width="9.140625" style="166"/>
    <col min="4592" max="4592" width="5.7109375" style="166" customWidth="1"/>
    <col min="4593" max="4593" width="22" style="166" customWidth="1"/>
    <col min="4594" max="4594" width="12.42578125" style="166" customWidth="1"/>
    <col min="4595" max="4595" width="12.7109375" style="166" customWidth="1"/>
    <col min="4596" max="4597" width="10.7109375" style="166" customWidth="1"/>
    <col min="4598" max="4598" width="13.140625" style="166" customWidth="1"/>
    <col min="4599" max="4599" width="13.7109375" style="166" customWidth="1"/>
    <col min="4600" max="4600" width="9.42578125" style="166" customWidth="1"/>
    <col min="4601" max="4601" width="17.85546875" style="166" customWidth="1"/>
    <col min="4602" max="4602" width="12.140625" style="166" bestFit="1" customWidth="1"/>
    <col min="4603" max="4603" width="11.140625" style="166" bestFit="1" customWidth="1"/>
    <col min="4604" max="4604" width="9.140625" style="166"/>
    <col min="4605" max="4605" width="11.140625" style="166" bestFit="1" customWidth="1"/>
    <col min="4606" max="4606" width="19.85546875" style="166" customWidth="1"/>
    <col min="4607" max="4847" width="9.140625" style="166"/>
    <col min="4848" max="4848" width="5.7109375" style="166" customWidth="1"/>
    <col min="4849" max="4849" width="22" style="166" customWidth="1"/>
    <col min="4850" max="4850" width="12.42578125" style="166" customWidth="1"/>
    <col min="4851" max="4851" width="12.7109375" style="166" customWidth="1"/>
    <col min="4852" max="4853" width="10.7109375" style="166" customWidth="1"/>
    <col min="4854" max="4854" width="13.140625" style="166" customWidth="1"/>
    <col min="4855" max="4855" width="13.7109375" style="166" customWidth="1"/>
    <col min="4856" max="4856" width="9.42578125" style="166" customWidth="1"/>
    <col min="4857" max="4857" width="17.85546875" style="166" customWidth="1"/>
    <col min="4858" max="4858" width="12.140625" style="166" bestFit="1" customWidth="1"/>
    <col min="4859" max="4859" width="11.140625" style="166" bestFit="1" customWidth="1"/>
    <col min="4860" max="4860" width="9.140625" style="166"/>
    <col min="4861" max="4861" width="11.140625" style="166" bestFit="1" customWidth="1"/>
    <col min="4862" max="4862" width="19.85546875" style="166" customWidth="1"/>
    <col min="4863" max="5103" width="9.140625" style="166"/>
    <col min="5104" max="5104" width="5.7109375" style="166" customWidth="1"/>
    <col min="5105" max="5105" width="22" style="166" customWidth="1"/>
    <col min="5106" max="5106" width="12.42578125" style="166" customWidth="1"/>
    <col min="5107" max="5107" width="12.7109375" style="166" customWidth="1"/>
    <col min="5108" max="5109" width="10.7109375" style="166" customWidth="1"/>
    <col min="5110" max="5110" width="13.140625" style="166" customWidth="1"/>
    <col min="5111" max="5111" width="13.7109375" style="166" customWidth="1"/>
    <col min="5112" max="5112" width="9.42578125" style="166" customWidth="1"/>
    <col min="5113" max="5113" width="17.85546875" style="166" customWidth="1"/>
    <col min="5114" max="5114" width="12.140625" style="166" bestFit="1" customWidth="1"/>
    <col min="5115" max="5115" width="11.140625" style="166" bestFit="1" customWidth="1"/>
    <col min="5116" max="5116" width="9.140625" style="166"/>
    <col min="5117" max="5117" width="11.140625" style="166" bestFit="1" customWidth="1"/>
    <col min="5118" max="5118" width="19.85546875" style="166" customWidth="1"/>
    <col min="5119" max="5359" width="9.140625" style="166"/>
    <col min="5360" max="5360" width="5.7109375" style="166" customWidth="1"/>
    <col min="5361" max="5361" width="22" style="166" customWidth="1"/>
    <col min="5362" max="5362" width="12.42578125" style="166" customWidth="1"/>
    <col min="5363" max="5363" width="12.7109375" style="166" customWidth="1"/>
    <col min="5364" max="5365" width="10.7109375" style="166" customWidth="1"/>
    <col min="5366" max="5366" width="13.140625" style="166" customWidth="1"/>
    <col min="5367" max="5367" width="13.7109375" style="166" customWidth="1"/>
    <col min="5368" max="5368" width="9.42578125" style="166" customWidth="1"/>
    <col min="5369" max="5369" width="17.85546875" style="166" customWidth="1"/>
    <col min="5370" max="5370" width="12.140625" style="166" bestFit="1" customWidth="1"/>
    <col min="5371" max="5371" width="11.140625" style="166" bestFit="1" customWidth="1"/>
    <col min="5372" max="5372" width="9.140625" style="166"/>
    <col min="5373" max="5373" width="11.140625" style="166" bestFit="1" customWidth="1"/>
    <col min="5374" max="5374" width="19.85546875" style="166" customWidth="1"/>
    <col min="5375" max="5615" width="9.140625" style="166"/>
    <col min="5616" max="5616" width="5.7109375" style="166" customWidth="1"/>
    <col min="5617" max="5617" width="22" style="166" customWidth="1"/>
    <col min="5618" max="5618" width="12.42578125" style="166" customWidth="1"/>
    <col min="5619" max="5619" width="12.7109375" style="166" customWidth="1"/>
    <col min="5620" max="5621" width="10.7109375" style="166" customWidth="1"/>
    <col min="5622" max="5622" width="13.140625" style="166" customWidth="1"/>
    <col min="5623" max="5623" width="13.7109375" style="166" customWidth="1"/>
    <col min="5624" max="5624" width="9.42578125" style="166" customWidth="1"/>
    <col min="5625" max="5625" width="17.85546875" style="166" customWidth="1"/>
    <col min="5626" max="5626" width="12.140625" style="166" bestFit="1" customWidth="1"/>
    <col min="5627" max="5627" width="11.140625" style="166" bestFit="1" customWidth="1"/>
    <col min="5628" max="5628" width="9.140625" style="166"/>
    <col min="5629" max="5629" width="11.140625" style="166" bestFit="1" customWidth="1"/>
    <col min="5630" max="5630" width="19.85546875" style="166" customWidth="1"/>
    <col min="5631" max="5871" width="9.140625" style="166"/>
    <col min="5872" max="5872" width="5.7109375" style="166" customWidth="1"/>
    <col min="5873" max="5873" width="22" style="166" customWidth="1"/>
    <col min="5874" max="5874" width="12.42578125" style="166" customWidth="1"/>
    <col min="5875" max="5875" width="12.7109375" style="166" customWidth="1"/>
    <col min="5876" max="5877" width="10.7109375" style="166" customWidth="1"/>
    <col min="5878" max="5878" width="13.140625" style="166" customWidth="1"/>
    <col min="5879" max="5879" width="13.7109375" style="166" customWidth="1"/>
    <col min="5880" max="5880" width="9.42578125" style="166" customWidth="1"/>
    <col min="5881" max="5881" width="17.85546875" style="166" customWidth="1"/>
    <col min="5882" max="5882" width="12.140625" style="166" bestFit="1" customWidth="1"/>
    <col min="5883" max="5883" width="11.140625" style="166" bestFit="1" customWidth="1"/>
    <col min="5884" max="5884" width="9.140625" style="166"/>
    <col min="5885" max="5885" width="11.140625" style="166" bestFit="1" customWidth="1"/>
    <col min="5886" max="5886" width="19.85546875" style="166" customWidth="1"/>
    <col min="5887" max="6127" width="9.140625" style="166"/>
    <col min="6128" max="6128" width="5.7109375" style="166" customWidth="1"/>
    <col min="6129" max="6129" width="22" style="166" customWidth="1"/>
    <col min="6130" max="6130" width="12.42578125" style="166" customWidth="1"/>
    <col min="6131" max="6131" width="12.7109375" style="166" customWidth="1"/>
    <col min="6132" max="6133" width="10.7109375" style="166" customWidth="1"/>
    <col min="6134" max="6134" width="13.140625" style="166" customWidth="1"/>
    <col min="6135" max="6135" width="13.7109375" style="166" customWidth="1"/>
    <col min="6136" max="6136" width="9.42578125" style="166" customWidth="1"/>
    <col min="6137" max="6137" width="17.85546875" style="166" customWidth="1"/>
    <col min="6138" max="6138" width="12.140625" style="166" bestFit="1" customWidth="1"/>
    <col min="6139" max="6139" width="11.140625" style="166" bestFit="1" customWidth="1"/>
    <col min="6140" max="6140" width="9.140625" style="166"/>
    <col min="6141" max="6141" width="11.140625" style="166" bestFit="1" customWidth="1"/>
    <col min="6142" max="6142" width="19.85546875" style="166" customWidth="1"/>
    <col min="6143" max="6383" width="9.140625" style="166"/>
    <col min="6384" max="6384" width="5.7109375" style="166" customWidth="1"/>
    <col min="6385" max="6385" width="22" style="166" customWidth="1"/>
    <col min="6386" max="6386" width="12.42578125" style="166" customWidth="1"/>
    <col min="6387" max="6387" width="12.7109375" style="166" customWidth="1"/>
    <col min="6388" max="6389" width="10.7109375" style="166" customWidth="1"/>
    <col min="6390" max="6390" width="13.140625" style="166" customWidth="1"/>
    <col min="6391" max="6391" width="13.7109375" style="166" customWidth="1"/>
    <col min="6392" max="6392" width="9.42578125" style="166" customWidth="1"/>
    <col min="6393" max="6393" width="17.85546875" style="166" customWidth="1"/>
    <col min="6394" max="6394" width="12.140625" style="166" bestFit="1" customWidth="1"/>
    <col min="6395" max="6395" width="11.140625" style="166" bestFit="1" customWidth="1"/>
    <col min="6396" max="6396" width="9.140625" style="166"/>
    <col min="6397" max="6397" width="11.140625" style="166" bestFit="1" customWidth="1"/>
    <col min="6398" max="6398" width="19.85546875" style="166" customWidth="1"/>
    <col min="6399" max="6639" width="9.140625" style="166"/>
    <col min="6640" max="6640" width="5.7109375" style="166" customWidth="1"/>
    <col min="6641" max="6641" width="22" style="166" customWidth="1"/>
    <col min="6642" max="6642" width="12.42578125" style="166" customWidth="1"/>
    <col min="6643" max="6643" width="12.7109375" style="166" customWidth="1"/>
    <col min="6644" max="6645" width="10.7109375" style="166" customWidth="1"/>
    <col min="6646" max="6646" width="13.140625" style="166" customWidth="1"/>
    <col min="6647" max="6647" width="13.7109375" style="166" customWidth="1"/>
    <col min="6648" max="6648" width="9.42578125" style="166" customWidth="1"/>
    <col min="6649" max="6649" width="17.85546875" style="166" customWidth="1"/>
    <col min="6650" max="6650" width="12.140625" style="166" bestFit="1" customWidth="1"/>
    <col min="6651" max="6651" width="11.140625" style="166" bestFit="1" customWidth="1"/>
    <col min="6652" max="6652" width="9.140625" style="166"/>
    <col min="6653" max="6653" width="11.140625" style="166" bestFit="1" customWidth="1"/>
    <col min="6654" max="6654" width="19.85546875" style="166" customWidth="1"/>
    <col min="6655" max="6895" width="9.140625" style="166"/>
    <col min="6896" max="6896" width="5.7109375" style="166" customWidth="1"/>
    <col min="6897" max="6897" width="22" style="166" customWidth="1"/>
    <col min="6898" max="6898" width="12.42578125" style="166" customWidth="1"/>
    <col min="6899" max="6899" width="12.7109375" style="166" customWidth="1"/>
    <col min="6900" max="6901" width="10.7109375" style="166" customWidth="1"/>
    <col min="6902" max="6902" width="13.140625" style="166" customWidth="1"/>
    <col min="6903" max="6903" width="13.7109375" style="166" customWidth="1"/>
    <col min="6904" max="6904" width="9.42578125" style="166" customWidth="1"/>
    <col min="6905" max="6905" width="17.85546875" style="166" customWidth="1"/>
    <col min="6906" max="6906" width="12.140625" style="166" bestFit="1" customWidth="1"/>
    <col min="6907" max="6907" width="11.140625" style="166" bestFit="1" customWidth="1"/>
    <col min="6908" max="6908" width="9.140625" style="166"/>
    <col min="6909" max="6909" width="11.140625" style="166" bestFit="1" customWidth="1"/>
    <col min="6910" max="6910" width="19.85546875" style="166" customWidth="1"/>
    <col min="6911" max="7151" width="9.140625" style="166"/>
    <col min="7152" max="7152" width="5.7109375" style="166" customWidth="1"/>
    <col min="7153" max="7153" width="22" style="166" customWidth="1"/>
    <col min="7154" max="7154" width="12.42578125" style="166" customWidth="1"/>
    <col min="7155" max="7155" width="12.7109375" style="166" customWidth="1"/>
    <col min="7156" max="7157" width="10.7109375" style="166" customWidth="1"/>
    <col min="7158" max="7158" width="13.140625" style="166" customWidth="1"/>
    <col min="7159" max="7159" width="13.7109375" style="166" customWidth="1"/>
    <col min="7160" max="7160" width="9.42578125" style="166" customWidth="1"/>
    <col min="7161" max="7161" width="17.85546875" style="166" customWidth="1"/>
    <col min="7162" max="7162" width="12.140625" style="166" bestFit="1" customWidth="1"/>
    <col min="7163" max="7163" width="11.140625" style="166" bestFit="1" customWidth="1"/>
    <col min="7164" max="7164" width="9.140625" style="166"/>
    <col min="7165" max="7165" width="11.140625" style="166" bestFit="1" customWidth="1"/>
    <col min="7166" max="7166" width="19.85546875" style="166" customWidth="1"/>
    <col min="7167" max="7407" width="9.140625" style="166"/>
    <col min="7408" max="7408" width="5.7109375" style="166" customWidth="1"/>
    <col min="7409" max="7409" width="22" style="166" customWidth="1"/>
    <col min="7410" max="7410" width="12.42578125" style="166" customWidth="1"/>
    <col min="7411" max="7411" width="12.7109375" style="166" customWidth="1"/>
    <col min="7412" max="7413" width="10.7109375" style="166" customWidth="1"/>
    <col min="7414" max="7414" width="13.140625" style="166" customWidth="1"/>
    <col min="7415" max="7415" width="13.7109375" style="166" customWidth="1"/>
    <col min="7416" max="7416" width="9.42578125" style="166" customWidth="1"/>
    <col min="7417" max="7417" width="17.85546875" style="166" customWidth="1"/>
    <col min="7418" max="7418" width="12.140625" style="166" bestFit="1" customWidth="1"/>
    <col min="7419" max="7419" width="11.140625" style="166" bestFit="1" customWidth="1"/>
    <col min="7420" max="7420" width="9.140625" style="166"/>
    <col min="7421" max="7421" width="11.140625" style="166" bestFit="1" customWidth="1"/>
    <col min="7422" max="7422" width="19.85546875" style="166" customWidth="1"/>
    <col min="7423" max="7663" width="9.140625" style="166"/>
    <col min="7664" max="7664" width="5.7109375" style="166" customWidth="1"/>
    <col min="7665" max="7665" width="22" style="166" customWidth="1"/>
    <col min="7666" max="7666" width="12.42578125" style="166" customWidth="1"/>
    <col min="7667" max="7667" width="12.7109375" style="166" customWidth="1"/>
    <col min="7668" max="7669" width="10.7109375" style="166" customWidth="1"/>
    <col min="7670" max="7670" width="13.140625" style="166" customWidth="1"/>
    <col min="7671" max="7671" width="13.7109375" style="166" customWidth="1"/>
    <col min="7672" max="7672" width="9.42578125" style="166" customWidth="1"/>
    <col min="7673" max="7673" width="17.85546875" style="166" customWidth="1"/>
    <col min="7674" max="7674" width="12.140625" style="166" bestFit="1" customWidth="1"/>
    <col min="7675" max="7675" width="11.140625" style="166" bestFit="1" customWidth="1"/>
    <col min="7676" max="7676" width="9.140625" style="166"/>
    <col min="7677" max="7677" width="11.140625" style="166" bestFit="1" customWidth="1"/>
    <col min="7678" max="7678" width="19.85546875" style="166" customWidth="1"/>
    <col min="7679" max="7919" width="9.140625" style="166"/>
    <col min="7920" max="7920" width="5.7109375" style="166" customWidth="1"/>
    <col min="7921" max="7921" width="22" style="166" customWidth="1"/>
    <col min="7922" max="7922" width="12.42578125" style="166" customWidth="1"/>
    <col min="7923" max="7923" width="12.7109375" style="166" customWidth="1"/>
    <col min="7924" max="7925" width="10.7109375" style="166" customWidth="1"/>
    <col min="7926" max="7926" width="13.140625" style="166" customWidth="1"/>
    <col min="7927" max="7927" width="13.7109375" style="166" customWidth="1"/>
    <col min="7928" max="7928" width="9.42578125" style="166" customWidth="1"/>
    <col min="7929" max="7929" width="17.85546875" style="166" customWidth="1"/>
    <col min="7930" max="7930" width="12.140625" style="166" bestFit="1" customWidth="1"/>
    <col min="7931" max="7931" width="11.140625" style="166" bestFit="1" customWidth="1"/>
    <col min="7932" max="7932" width="9.140625" style="166"/>
    <col min="7933" max="7933" width="11.140625" style="166" bestFit="1" customWidth="1"/>
    <col min="7934" max="7934" width="19.85546875" style="166" customWidth="1"/>
    <col min="7935" max="8175" width="9.140625" style="166"/>
    <col min="8176" max="8176" width="5.7109375" style="166" customWidth="1"/>
    <col min="8177" max="8177" width="22" style="166" customWidth="1"/>
    <col min="8178" max="8178" width="12.42578125" style="166" customWidth="1"/>
    <col min="8179" max="8179" width="12.7109375" style="166" customWidth="1"/>
    <col min="8180" max="8181" width="10.7109375" style="166" customWidth="1"/>
    <col min="8182" max="8182" width="13.140625" style="166" customWidth="1"/>
    <col min="8183" max="8183" width="13.7109375" style="166" customWidth="1"/>
    <col min="8184" max="8184" width="9.42578125" style="166" customWidth="1"/>
    <col min="8185" max="8185" width="17.85546875" style="166" customWidth="1"/>
    <col min="8186" max="8186" width="12.140625" style="166" bestFit="1" customWidth="1"/>
    <col min="8187" max="8187" width="11.140625" style="166" bestFit="1" customWidth="1"/>
    <col min="8188" max="8188" width="9.140625" style="166"/>
    <col min="8189" max="8189" width="11.140625" style="166" bestFit="1" customWidth="1"/>
    <col min="8190" max="8190" width="19.85546875" style="166" customWidth="1"/>
    <col min="8191" max="8431" width="9.140625" style="166"/>
    <col min="8432" max="8432" width="5.7109375" style="166" customWidth="1"/>
    <col min="8433" max="8433" width="22" style="166" customWidth="1"/>
    <col min="8434" max="8434" width="12.42578125" style="166" customWidth="1"/>
    <col min="8435" max="8435" width="12.7109375" style="166" customWidth="1"/>
    <col min="8436" max="8437" width="10.7109375" style="166" customWidth="1"/>
    <col min="8438" max="8438" width="13.140625" style="166" customWidth="1"/>
    <col min="8439" max="8439" width="13.7109375" style="166" customWidth="1"/>
    <col min="8440" max="8440" width="9.42578125" style="166" customWidth="1"/>
    <col min="8441" max="8441" width="17.85546875" style="166" customWidth="1"/>
    <col min="8442" max="8442" width="12.140625" style="166" bestFit="1" customWidth="1"/>
    <col min="8443" max="8443" width="11.140625" style="166" bestFit="1" customWidth="1"/>
    <col min="8444" max="8444" width="9.140625" style="166"/>
    <col min="8445" max="8445" width="11.140625" style="166" bestFit="1" customWidth="1"/>
    <col min="8446" max="8446" width="19.85546875" style="166" customWidth="1"/>
    <col min="8447" max="8687" width="9.140625" style="166"/>
    <col min="8688" max="8688" width="5.7109375" style="166" customWidth="1"/>
    <col min="8689" max="8689" width="22" style="166" customWidth="1"/>
    <col min="8690" max="8690" width="12.42578125" style="166" customWidth="1"/>
    <col min="8691" max="8691" width="12.7109375" style="166" customWidth="1"/>
    <col min="8692" max="8693" width="10.7109375" style="166" customWidth="1"/>
    <col min="8694" max="8694" width="13.140625" style="166" customWidth="1"/>
    <col min="8695" max="8695" width="13.7109375" style="166" customWidth="1"/>
    <col min="8696" max="8696" width="9.42578125" style="166" customWidth="1"/>
    <col min="8697" max="8697" width="17.85546875" style="166" customWidth="1"/>
    <col min="8698" max="8698" width="12.140625" style="166" bestFit="1" customWidth="1"/>
    <col min="8699" max="8699" width="11.140625" style="166" bestFit="1" customWidth="1"/>
    <col min="8700" max="8700" width="9.140625" style="166"/>
    <col min="8701" max="8701" width="11.140625" style="166" bestFit="1" customWidth="1"/>
    <col min="8702" max="8702" width="19.85546875" style="166" customWidth="1"/>
    <col min="8703" max="8943" width="9.140625" style="166"/>
    <col min="8944" max="8944" width="5.7109375" style="166" customWidth="1"/>
    <col min="8945" max="8945" width="22" style="166" customWidth="1"/>
    <col min="8946" max="8946" width="12.42578125" style="166" customWidth="1"/>
    <col min="8947" max="8947" width="12.7109375" style="166" customWidth="1"/>
    <col min="8948" max="8949" width="10.7109375" style="166" customWidth="1"/>
    <col min="8950" max="8950" width="13.140625" style="166" customWidth="1"/>
    <col min="8951" max="8951" width="13.7109375" style="166" customWidth="1"/>
    <col min="8952" max="8952" width="9.42578125" style="166" customWidth="1"/>
    <col min="8953" max="8953" width="17.85546875" style="166" customWidth="1"/>
    <col min="8954" max="8954" width="12.140625" style="166" bestFit="1" customWidth="1"/>
    <col min="8955" max="8955" width="11.140625" style="166" bestFit="1" customWidth="1"/>
    <col min="8956" max="8956" width="9.140625" style="166"/>
    <col min="8957" max="8957" width="11.140625" style="166" bestFit="1" customWidth="1"/>
    <col min="8958" max="8958" width="19.85546875" style="166" customWidth="1"/>
    <col min="8959" max="9199" width="9.140625" style="166"/>
    <col min="9200" max="9200" width="5.7109375" style="166" customWidth="1"/>
    <col min="9201" max="9201" width="22" style="166" customWidth="1"/>
    <col min="9202" max="9202" width="12.42578125" style="166" customWidth="1"/>
    <col min="9203" max="9203" width="12.7109375" style="166" customWidth="1"/>
    <col min="9204" max="9205" width="10.7109375" style="166" customWidth="1"/>
    <col min="9206" max="9206" width="13.140625" style="166" customWidth="1"/>
    <col min="9207" max="9207" width="13.7109375" style="166" customWidth="1"/>
    <col min="9208" max="9208" width="9.42578125" style="166" customWidth="1"/>
    <col min="9209" max="9209" width="17.85546875" style="166" customWidth="1"/>
    <col min="9210" max="9210" width="12.140625" style="166" bestFit="1" customWidth="1"/>
    <col min="9211" max="9211" width="11.140625" style="166" bestFit="1" customWidth="1"/>
    <col min="9212" max="9212" width="9.140625" style="166"/>
    <col min="9213" max="9213" width="11.140625" style="166" bestFit="1" customWidth="1"/>
    <col min="9214" max="9214" width="19.85546875" style="166" customWidth="1"/>
    <col min="9215" max="9455" width="9.140625" style="166"/>
    <col min="9456" max="9456" width="5.7109375" style="166" customWidth="1"/>
    <col min="9457" max="9457" width="22" style="166" customWidth="1"/>
    <col min="9458" max="9458" width="12.42578125" style="166" customWidth="1"/>
    <col min="9459" max="9459" width="12.7109375" style="166" customWidth="1"/>
    <col min="9460" max="9461" width="10.7109375" style="166" customWidth="1"/>
    <col min="9462" max="9462" width="13.140625" style="166" customWidth="1"/>
    <col min="9463" max="9463" width="13.7109375" style="166" customWidth="1"/>
    <col min="9464" max="9464" width="9.42578125" style="166" customWidth="1"/>
    <col min="9465" max="9465" width="17.85546875" style="166" customWidth="1"/>
    <col min="9466" max="9466" width="12.140625" style="166" bestFit="1" customWidth="1"/>
    <col min="9467" max="9467" width="11.140625" style="166" bestFit="1" customWidth="1"/>
    <col min="9468" max="9468" width="9.140625" style="166"/>
    <col min="9469" max="9469" width="11.140625" style="166" bestFit="1" customWidth="1"/>
    <col min="9470" max="9470" width="19.85546875" style="166" customWidth="1"/>
    <col min="9471" max="9711" width="9.140625" style="166"/>
    <col min="9712" max="9712" width="5.7109375" style="166" customWidth="1"/>
    <col min="9713" max="9713" width="22" style="166" customWidth="1"/>
    <col min="9714" max="9714" width="12.42578125" style="166" customWidth="1"/>
    <col min="9715" max="9715" width="12.7109375" style="166" customWidth="1"/>
    <col min="9716" max="9717" width="10.7109375" style="166" customWidth="1"/>
    <col min="9718" max="9718" width="13.140625" style="166" customWidth="1"/>
    <col min="9719" max="9719" width="13.7109375" style="166" customWidth="1"/>
    <col min="9720" max="9720" width="9.42578125" style="166" customWidth="1"/>
    <col min="9721" max="9721" width="17.85546875" style="166" customWidth="1"/>
    <col min="9722" max="9722" width="12.140625" style="166" bestFit="1" customWidth="1"/>
    <col min="9723" max="9723" width="11.140625" style="166" bestFit="1" customWidth="1"/>
    <col min="9724" max="9724" width="9.140625" style="166"/>
    <col min="9725" max="9725" width="11.140625" style="166" bestFit="1" customWidth="1"/>
    <col min="9726" max="9726" width="19.85546875" style="166" customWidth="1"/>
    <col min="9727" max="9967" width="9.140625" style="166"/>
    <col min="9968" max="9968" width="5.7109375" style="166" customWidth="1"/>
    <col min="9969" max="9969" width="22" style="166" customWidth="1"/>
    <col min="9970" max="9970" width="12.42578125" style="166" customWidth="1"/>
    <col min="9971" max="9971" width="12.7109375" style="166" customWidth="1"/>
    <col min="9972" max="9973" width="10.7109375" style="166" customWidth="1"/>
    <col min="9974" max="9974" width="13.140625" style="166" customWidth="1"/>
    <col min="9975" max="9975" width="13.7109375" style="166" customWidth="1"/>
    <col min="9976" max="9976" width="9.42578125" style="166" customWidth="1"/>
    <col min="9977" max="9977" width="17.85546875" style="166" customWidth="1"/>
    <col min="9978" max="9978" width="12.140625" style="166" bestFit="1" customWidth="1"/>
    <col min="9979" max="9979" width="11.140625" style="166" bestFit="1" customWidth="1"/>
    <col min="9980" max="9980" width="9.140625" style="166"/>
    <col min="9981" max="9981" width="11.140625" style="166" bestFit="1" customWidth="1"/>
    <col min="9982" max="9982" width="19.85546875" style="166" customWidth="1"/>
    <col min="9983" max="10223" width="9.140625" style="166"/>
    <col min="10224" max="10224" width="5.7109375" style="166" customWidth="1"/>
    <col min="10225" max="10225" width="22" style="166" customWidth="1"/>
    <col min="10226" max="10226" width="12.42578125" style="166" customWidth="1"/>
    <col min="10227" max="10227" width="12.7109375" style="166" customWidth="1"/>
    <col min="10228" max="10229" width="10.7109375" style="166" customWidth="1"/>
    <col min="10230" max="10230" width="13.140625" style="166" customWidth="1"/>
    <col min="10231" max="10231" width="13.7109375" style="166" customWidth="1"/>
    <col min="10232" max="10232" width="9.42578125" style="166" customWidth="1"/>
    <col min="10233" max="10233" width="17.85546875" style="166" customWidth="1"/>
    <col min="10234" max="10234" width="12.140625" style="166" bestFit="1" customWidth="1"/>
    <col min="10235" max="10235" width="11.140625" style="166" bestFit="1" customWidth="1"/>
    <col min="10236" max="10236" width="9.140625" style="166"/>
    <col min="10237" max="10237" width="11.140625" style="166" bestFit="1" customWidth="1"/>
    <col min="10238" max="10238" width="19.85546875" style="166" customWidth="1"/>
    <col min="10239" max="10479" width="9.140625" style="166"/>
    <col min="10480" max="10480" width="5.7109375" style="166" customWidth="1"/>
    <col min="10481" max="10481" width="22" style="166" customWidth="1"/>
    <col min="10482" max="10482" width="12.42578125" style="166" customWidth="1"/>
    <col min="10483" max="10483" width="12.7109375" style="166" customWidth="1"/>
    <col min="10484" max="10485" width="10.7109375" style="166" customWidth="1"/>
    <col min="10486" max="10486" width="13.140625" style="166" customWidth="1"/>
    <col min="10487" max="10487" width="13.7109375" style="166" customWidth="1"/>
    <col min="10488" max="10488" width="9.42578125" style="166" customWidth="1"/>
    <col min="10489" max="10489" width="17.85546875" style="166" customWidth="1"/>
    <col min="10490" max="10490" width="12.140625" style="166" bestFit="1" customWidth="1"/>
    <col min="10491" max="10491" width="11.140625" style="166" bestFit="1" customWidth="1"/>
    <col min="10492" max="10492" width="9.140625" style="166"/>
    <col min="10493" max="10493" width="11.140625" style="166" bestFit="1" customWidth="1"/>
    <col min="10494" max="10494" width="19.85546875" style="166" customWidth="1"/>
    <col min="10495" max="10735" width="9.140625" style="166"/>
    <col min="10736" max="10736" width="5.7109375" style="166" customWidth="1"/>
    <col min="10737" max="10737" width="22" style="166" customWidth="1"/>
    <col min="10738" max="10738" width="12.42578125" style="166" customWidth="1"/>
    <col min="10739" max="10739" width="12.7109375" style="166" customWidth="1"/>
    <col min="10740" max="10741" width="10.7109375" style="166" customWidth="1"/>
    <col min="10742" max="10742" width="13.140625" style="166" customWidth="1"/>
    <col min="10743" max="10743" width="13.7109375" style="166" customWidth="1"/>
    <col min="10744" max="10744" width="9.42578125" style="166" customWidth="1"/>
    <col min="10745" max="10745" width="17.85546875" style="166" customWidth="1"/>
    <col min="10746" max="10746" width="12.140625" style="166" bestFit="1" customWidth="1"/>
    <col min="10747" max="10747" width="11.140625" style="166" bestFit="1" customWidth="1"/>
    <col min="10748" max="10748" width="9.140625" style="166"/>
    <col min="10749" max="10749" width="11.140625" style="166" bestFit="1" customWidth="1"/>
    <col min="10750" max="10750" width="19.85546875" style="166" customWidth="1"/>
    <col min="10751" max="10991" width="9.140625" style="166"/>
    <col min="10992" max="10992" width="5.7109375" style="166" customWidth="1"/>
    <col min="10993" max="10993" width="22" style="166" customWidth="1"/>
    <col min="10994" max="10994" width="12.42578125" style="166" customWidth="1"/>
    <col min="10995" max="10995" width="12.7109375" style="166" customWidth="1"/>
    <col min="10996" max="10997" width="10.7109375" style="166" customWidth="1"/>
    <col min="10998" max="10998" width="13.140625" style="166" customWidth="1"/>
    <col min="10999" max="10999" width="13.7109375" style="166" customWidth="1"/>
    <col min="11000" max="11000" width="9.42578125" style="166" customWidth="1"/>
    <col min="11001" max="11001" width="17.85546875" style="166" customWidth="1"/>
    <col min="11002" max="11002" width="12.140625" style="166" bestFit="1" customWidth="1"/>
    <col min="11003" max="11003" width="11.140625" style="166" bestFit="1" customWidth="1"/>
    <col min="11004" max="11004" width="9.140625" style="166"/>
    <col min="11005" max="11005" width="11.140625" style="166" bestFit="1" customWidth="1"/>
    <col min="11006" max="11006" width="19.85546875" style="166" customWidth="1"/>
    <col min="11007" max="11247" width="9.140625" style="166"/>
    <col min="11248" max="11248" width="5.7109375" style="166" customWidth="1"/>
    <col min="11249" max="11249" width="22" style="166" customWidth="1"/>
    <col min="11250" max="11250" width="12.42578125" style="166" customWidth="1"/>
    <col min="11251" max="11251" width="12.7109375" style="166" customWidth="1"/>
    <col min="11252" max="11253" width="10.7109375" style="166" customWidth="1"/>
    <col min="11254" max="11254" width="13.140625" style="166" customWidth="1"/>
    <col min="11255" max="11255" width="13.7109375" style="166" customWidth="1"/>
    <col min="11256" max="11256" width="9.42578125" style="166" customWidth="1"/>
    <col min="11257" max="11257" width="17.85546875" style="166" customWidth="1"/>
    <col min="11258" max="11258" width="12.140625" style="166" bestFit="1" customWidth="1"/>
    <col min="11259" max="11259" width="11.140625" style="166" bestFit="1" customWidth="1"/>
    <col min="11260" max="11260" width="9.140625" style="166"/>
    <col min="11261" max="11261" width="11.140625" style="166" bestFit="1" customWidth="1"/>
    <col min="11262" max="11262" width="19.85546875" style="166" customWidth="1"/>
    <col min="11263" max="11503" width="9.140625" style="166"/>
    <col min="11504" max="11504" width="5.7109375" style="166" customWidth="1"/>
    <col min="11505" max="11505" width="22" style="166" customWidth="1"/>
    <col min="11506" max="11506" width="12.42578125" style="166" customWidth="1"/>
    <col min="11507" max="11507" width="12.7109375" style="166" customWidth="1"/>
    <col min="11508" max="11509" width="10.7109375" style="166" customWidth="1"/>
    <col min="11510" max="11510" width="13.140625" style="166" customWidth="1"/>
    <col min="11511" max="11511" width="13.7109375" style="166" customWidth="1"/>
    <col min="11512" max="11512" width="9.42578125" style="166" customWidth="1"/>
    <col min="11513" max="11513" width="17.85546875" style="166" customWidth="1"/>
    <col min="11514" max="11514" width="12.140625" style="166" bestFit="1" customWidth="1"/>
    <col min="11515" max="11515" width="11.140625" style="166" bestFit="1" customWidth="1"/>
    <col min="11516" max="11516" width="9.140625" style="166"/>
    <col min="11517" max="11517" width="11.140625" style="166" bestFit="1" customWidth="1"/>
    <col min="11518" max="11518" width="19.85546875" style="166" customWidth="1"/>
    <col min="11519" max="11759" width="9.140625" style="166"/>
    <col min="11760" max="11760" width="5.7109375" style="166" customWidth="1"/>
    <col min="11761" max="11761" width="22" style="166" customWidth="1"/>
    <col min="11762" max="11762" width="12.42578125" style="166" customWidth="1"/>
    <col min="11763" max="11763" width="12.7109375" style="166" customWidth="1"/>
    <col min="11764" max="11765" width="10.7109375" style="166" customWidth="1"/>
    <col min="11766" max="11766" width="13.140625" style="166" customWidth="1"/>
    <col min="11767" max="11767" width="13.7109375" style="166" customWidth="1"/>
    <col min="11768" max="11768" width="9.42578125" style="166" customWidth="1"/>
    <col min="11769" max="11769" width="17.85546875" style="166" customWidth="1"/>
    <col min="11770" max="11770" width="12.140625" style="166" bestFit="1" customWidth="1"/>
    <col min="11771" max="11771" width="11.140625" style="166" bestFit="1" customWidth="1"/>
    <col min="11772" max="11772" width="9.140625" style="166"/>
    <col min="11773" max="11773" width="11.140625" style="166" bestFit="1" customWidth="1"/>
    <col min="11774" max="11774" width="19.85546875" style="166" customWidth="1"/>
    <col min="11775" max="12015" width="9.140625" style="166"/>
    <col min="12016" max="12016" width="5.7109375" style="166" customWidth="1"/>
    <col min="12017" max="12017" width="22" style="166" customWidth="1"/>
    <col min="12018" max="12018" width="12.42578125" style="166" customWidth="1"/>
    <col min="12019" max="12019" width="12.7109375" style="166" customWidth="1"/>
    <col min="12020" max="12021" width="10.7109375" style="166" customWidth="1"/>
    <col min="12022" max="12022" width="13.140625" style="166" customWidth="1"/>
    <col min="12023" max="12023" width="13.7109375" style="166" customWidth="1"/>
    <col min="12024" max="12024" width="9.42578125" style="166" customWidth="1"/>
    <col min="12025" max="12025" width="17.85546875" style="166" customWidth="1"/>
    <col min="12026" max="12026" width="12.140625" style="166" bestFit="1" customWidth="1"/>
    <col min="12027" max="12027" width="11.140625" style="166" bestFit="1" customWidth="1"/>
    <col min="12028" max="12028" width="9.140625" style="166"/>
    <col min="12029" max="12029" width="11.140625" style="166" bestFit="1" customWidth="1"/>
    <col min="12030" max="12030" width="19.85546875" style="166" customWidth="1"/>
    <col min="12031" max="12271" width="9.140625" style="166"/>
    <col min="12272" max="12272" width="5.7109375" style="166" customWidth="1"/>
    <col min="12273" max="12273" width="22" style="166" customWidth="1"/>
    <col min="12274" max="12274" width="12.42578125" style="166" customWidth="1"/>
    <col min="12275" max="12275" width="12.7109375" style="166" customWidth="1"/>
    <col min="12276" max="12277" width="10.7109375" style="166" customWidth="1"/>
    <col min="12278" max="12278" width="13.140625" style="166" customWidth="1"/>
    <col min="12279" max="12279" width="13.7109375" style="166" customWidth="1"/>
    <col min="12280" max="12280" width="9.42578125" style="166" customWidth="1"/>
    <col min="12281" max="12281" width="17.85546875" style="166" customWidth="1"/>
    <col min="12282" max="12282" width="12.140625" style="166" bestFit="1" customWidth="1"/>
    <col min="12283" max="12283" width="11.140625" style="166" bestFit="1" customWidth="1"/>
    <col min="12284" max="12284" width="9.140625" style="166"/>
    <col min="12285" max="12285" width="11.140625" style="166" bestFit="1" customWidth="1"/>
    <col min="12286" max="12286" width="19.85546875" style="166" customWidth="1"/>
    <col min="12287" max="12527" width="9.140625" style="166"/>
    <col min="12528" max="12528" width="5.7109375" style="166" customWidth="1"/>
    <col min="12529" max="12529" width="22" style="166" customWidth="1"/>
    <col min="12530" max="12530" width="12.42578125" style="166" customWidth="1"/>
    <col min="12531" max="12531" width="12.7109375" style="166" customWidth="1"/>
    <col min="12532" max="12533" width="10.7109375" style="166" customWidth="1"/>
    <col min="12534" max="12534" width="13.140625" style="166" customWidth="1"/>
    <col min="12535" max="12535" width="13.7109375" style="166" customWidth="1"/>
    <col min="12536" max="12536" width="9.42578125" style="166" customWidth="1"/>
    <col min="12537" max="12537" width="17.85546875" style="166" customWidth="1"/>
    <col min="12538" max="12538" width="12.140625" style="166" bestFit="1" customWidth="1"/>
    <col min="12539" max="12539" width="11.140625" style="166" bestFit="1" customWidth="1"/>
    <col min="12540" max="12540" width="9.140625" style="166"/>
    <col min="12541" max="12541" width="11.140625" style="166" bestFit="1" customWidth="1"/>
    <col min="12542" max="12542" width="19.85546875" style="166" customWidth="1"/>
    <col min="12543" max="12783" width="9.140625" style="166"/>
    <col min="12784" max="12784" width="5.7109375" style="166" customWidth="1"/>
    <col min="12785" max="12785" width="22" style="166" customWidth="1"/>
    <col min="12786" max="12786" width="12.42578125" style="166" customWidth="1"/>
    <col min="12787" max="12787" width="12.7109375" style="166" customWidth="1"/>
    <col min="12788" max="12789" width="10.7109375" style="166" customWidth="1"/>
    <col min="12790" max="12790" width="13.140625" style="166" customWidth="1"/>
    <col min="12791" max="12791" width="13.7109375" style="166" customWidth="1"/>
    <col min="12792" max="12792" width="9.42578125" style="166" customWidth="1"/>
    <col min="12793" max="12793" width="17.85546875" style="166" customWidth="1"/>
    <col min="12794" max="12794" width="12.140625" style="166" bestFit="1" customWidth="1"/>
    <col min="12795" max="12795" width="11.140625" style="166" bestFit="1" customWidth="1"/>
    <col min="12796" max="12796" width="9.140625" style="166"/>
    <col min="12797" max="12797" width="11.140625" style="166" bestFit="1" customWidth="1"/>
    <col min="12798" max="12798" width="19.85546875" style="166" customWidth="1"/>
    <col min="12799" max="13039" width="9.140625" style="166"/>
    <col min="13040" max="13040" width="5.7109375" style="166" customWidth="1"/>
    <col min="13041" max="13041" width="22" style="166" customWidth="1"/>
    <col min="13042" max="13042" width="12.42578125" style="166" customWidth="1"/>
    <col min="13043" max="13043" width="12.7109375" style="166" customWidth="1"/>
    <col min="13044" max="13045" width="10.7109375" style="166" customWidth="1"/>
    <col min="13046" max="13046" width="13.140625" style="166" customWidth="1"/>
    <col min="13047" max="13047" width="13.7109375" style="166" customWidth="1"/>
    <col min="13048" max="13048" width="9.42578125" style="166" customWidth="1"/>
    <col min="13049" max="13049" width="17.85546875" style="166" customWidth="1"/>
    <col min="13050" max="13050" width="12.140625" style="166" bestFit="1" customWidth="1"/>
    <col min="13051" max="13051" width="11.140625" style="166" bestFit="1" customWidth="1"/>
    <col min="13052" max="13052" width="9.140625" style="166"/>
    <col min="13053" max="13053" width="11.140625" style="166" bestFit="1" customWidth="1"/>
    <col min="13054" max="13054" width="19.85546875" style="166" customWidth="1"/>
    <col min="13055" max="13295" width="9.140625" style="166"/>
    <col min="13296" max="13296" width="5.7109375" style="166" customWidth="1"/>
    <col min="13297" max="13297" width="22" style="166" customWidth="1"/>
    <col min="13298" max="13298" width="12.42578125" style="166" customWidth="1"/>
    <col min="13299" max="13299" width="12.7109375" style="166" customWidth="1"/>
    <col min="13300" max="13301" width="10.7109375" style="166" customWidth="1"/>
    <col min="13302" max="13302" width="13.140625" style="166" customWidth="1"/>
    <col min="13303" max="13303" width="13.7109375" style="166" customWidth="1"/>
    <col min="13304" max="13304" width="9.42578125" style="166" customWidth="1"/>
    <col min="13305" max="13305" width="17.85546875" style="166" customWidth="1"/>
    <col min="13306" max="13306" width="12.140625" style="166" bestFit="1" customWidth="1"/>
    <col min="13307" max="13307" width="11.140625" style="166" bestFit="1" customWidth="1"/>
    <col min="13308" max="13308" width="9.140625" style="166"/>
    <col min="13309" max="13309" width="11.140625" style="166" bestFit="1" customWidth="1"/>
    <col min="13310" max="13310" width="19.85546875" style="166" customWidth="1"/>
    <col min="13311" max="13551" width="9.140625" style="166"/>
    <col min="13552" max="13552" width="5.7109375" style="166" customWidth="1"/>
    <col min="13553" max="13553" width="22" style="166" customWidth="1"/>
    <col min="13554" max="13554" width="12.42578125" style="166" customWidth="1"/>
    <col min="13555" max="13555" width="12.7109375" style="166" customWidth="1"/>
    <col min="13556" max="13557" width="10.7109375" style="166" customWidth="1"/>
    <col min="13558" max="13558" width="13.140625" style="166" customWidth="1"/>
    <col min="13559" max="13559" width="13.7109375" style="166" customWidth="1"/>
    <col min="13560" max="13560" width="9.42578125" style="166" customWidth="1"/>
    <col min="13561" max="13561" width="17.85546875" style="166" customWidth="1"/>
    <col min="13562" max="13562" width="12.140625" style="166" bestFit="1" customWidth="1"/>
    <col min="13563" max="13563" width="11.140625" style="166" bestFit="1" customWidth="1"/>
    <col min="13564" max="13564" width="9.140625" style="166"/>
    <col min="13565" max="13565" width="11.140625" style="166" bestFit="1" customWidth="1"/>
    <col min="13566" max="13566" width="19.85546875" style="166" customWidth="1"/>
    <col min="13567" max="13807" width="9.140625" style="166"/>
    <col min="13808" max="13808" width="5.7109375" style="166" customWidth="1"/>
    <col min="13809" max="13809" width="22" style="166" customWidth="1"/>
    <col min="13810" max="13810" width="12.42578125" style="166" customWidth="1"/>
    <col min="13811" max="13811" width="12.7109375" style="166" customWidth="1"/>
    <col min="13812" max="13813" width="10.7109375" style="166" customWidth="1"/>
    <col min="13814" max="13814" width="13.140625" style="166" customWidth="1"/>
    <col min="13815" max="13815" width="13.7109375" style="166" customWidth="1"/>
    <col min="13816" max="13816" width="9.42578125" style="166" customWidth="1"/>
    <col min="13817" max="13817" width="17.85546875" style="166" customWidth="1"/>
    <col min="13818" max="13818" width="12.140625" style="166" bestFit="1" customWidth="1"/>
    <col min="13819" max="13819" width="11.140625" style="166" bestFit="1" customWidth="1"/>
    <col min="13820" max="13820" width="9.140625" style="166"/>
    <col min="13821" max="13821" width="11.140625" style="166" bestFit="1" customWidth="1"/>
    <col min="13822" max="13822" width="19.85546875" style="166" customWidth="1"/>
    <col min="13823" max="14063" width="9.140625" style="166"/>
    <col min="14064" max="14064" width="5.7109375" style="166" customWidth="1"/>
    <col min="14065" max="14065" width="22" style="166" customWidth="1"/>
    <col min="14066" max="14066" width="12.42578125" style="166" customWidth="1"/>
    <col min="14067" max="14067" width="12.7109375" style="166" customWidth="1"/>
    <col min="14068" max="14069" width="10.7109375" style="166" customWidth="1"/>
    <col min="14070" max="14070" width="13.140625" style="166" customWidth="1"/>
    <col min="14071" max="14071" width="13.7109375" style="166" customWidth="1"/>
    <col min="14072" max="14072" width="9.42578125" style="166" customWidth="1"/>
    <col min="14073" max="14073" width="17.85546875" style="166" customWidth="1"/>
    <col min="14074" max="14074" width="12.140625" style="166" bestFit="1" customWidth="1"/>
    <col min="14075" max="14075" width="11.140625" style="166" bestFit="1" customWidth="1"/>
    <col min="14076" max="14076" width="9.140625" style="166"/>
    <col min="14077" max="14077" width="11.140625" style="166" bestFit="1" customWidth="1"/>
    <col min="14078" max="14078" width="19.85546875" style="166" customWidth="1"/>
    <col min="14079" max="14319" width="9.140625" style="166"/>
    <col min="14320" max="14320" width="5.7109375" style="166" customWidth="1"/>
    <col min="14321" max="14321" width="22" style="166" customWidth="1"/>
    <col min="14322" max="14322" width="12.42578125" style="166" customWidth="1"/>
    <col min="14323" max="14323" width="12.7109375" style="166" customWidth="1"/>
    <col min="14324" max="14325" width="10.7109375" style="166" customWidth="1"/>
    <col min="14326" max="14326" width="13.140625" style="166" customWidth="1"/>
    <col min="14327" max="14327" width="13.7109375" style="166" customWidth="1"/>
    <col min="14328" max="14328" width="9.42578125" style="166" customWidth="1"/>
    <col min="14329" max="14329" width="17.85546875" style="166" customWidth="1"/>
    <col min="14330" max="14330" width="12.140625" style="166" bestFit="1" customWidth="1"/>
    <col min="14331" max="14331" width="11.140625" style="166" bestFit="1" customWidth="1"/>
    <col min="14332" max="14332" width="9.140625" style="166"/>
    <col min="14333" max="14333" width="11.140625" style="166" bestFit="1" customWidth="1"/>
    <col min="14334" max="14334" width="19.85546875" style="166" customWidth="1"/>
    <col min="14335" max="14575" width="9.140625" style="166"/>
    <col min="14576" max="14576" width="5.7109375" style="166" customWidth="1"/>
    <col min="14577" max="14577" width="22" style="166" customWidth="1"/>
    <col min="14578" max="14578" width="12.42578125" style="166" customWidth="1"/>
    <col min="14579" max="14579" width="12.7109375" style="166" customWidth="1"/>
    <col min="14580" max="14581" width="10.7109375" style="166" customWidth="1"/>
    <col min="14582" max="14582" width="13.140625" style="166" customWidth="1"/>
    <col min="14583" max="14583" width="13.7109375" style="166" customWidth="1"/>
    <col min="14584" max="14584" width="9.42578125" style="166" customWidth="1"/>
    <col min="14585" max="14585" width="17.85546875" style="166" customWidth="1"/>
    <col min="14586" max="14586" width="12.140625" style="166" bestFit="1" customWidth="1"/>
    <col min="14587" max="14587" width="11.140625" style="166" bestFit="1" customWidth="1"/>
    <col min="14588" max="14588" width="9.140625" style="166"/>
    <col min="14589" max="14589" width="11.140625" style="166" bestFit="1" customWidth="1"/>
    <col min="14590" max="14590" width="19.85546875" style="166" customWidth="1"/>
    <col min="14591" max="14831" width="9.140625" style="166"/>
    <col min="14832" max="14832" width="5.7109375" style="166" customWidth="1"/>
    <col min="14833" max="14833" width="22" style="166" customWidth="1"/>
    <col min="14834" max="14834" width="12.42578125" style="166" customWidth="1"/>
    <col min="14835" max="14835" width="12.7109375" style="166" customWidth="1"/>
    <col min="14836" max="14837" width="10.7109375" style="166" customWidth="1"/>
    <col min="14838" max="14838" width="13.140625" style="166" customWidth="1"/>
    <col min="14839" max="14839" width="13.7109375" style="166" customWidth="1"/>
    <col min="14840" max="14840" width="9.42578125" style="166" customWidth="1"/>
    <col min="14841" max="14841" width="17.85546875" style="166" customWidth="1"/>
    <col min="14842" max="14842" width="12.140625" style="166" bestFit="1" customWidth="1"/>
    <col min="14843" max="14843" width="11.140625" style="166" bestFit="1" customWidth="1"/>
    <col min="14844" max="14844" width="9.140625" style="166"/>
    <col min="14845" max="14845" width="11.140625" style="166" bestFit="1" customWidth="1"/>
    <col min="14846" max="14846" width="19.85546875" style="166" customWidth="1"/>
    <col min="14847" max="15087" width="9.140625" style="166"/>
    <col min="15088" max="15088" width="5.7109375" style="166" customWidth="1"/>
    <col min="15089" max="15089" width="22" style="166" customWidth="1"/>
    <col min="15090" max="15090" width="12.42578125" style="166" customWidth="1"/>
    <col min="15091" max="15091" width="12.7109375" style="166" customWidth="1"/>
    <col min="15092" max="15093" width="10.7109375" style="166" customWidth="1"/>
    <col min="15094" max="15094" width="13.140625" style="166" customWidth="1"/>
    <col min="15095" max="15095" width="13.7109375" style="166" customWidth="1"/>
    <col min="15096" max="15096" width="9.42578125" style="166" customWidth="1"/>
    <col min="15097" max="15097" width="17.85546875" style="166" customWidth="1"/>
    <col min="15098" max="15098" width="12.140625" style="166" bestFit="1" customWidth="1"/>
    <col min="15099" max="15099" width="11.140625" style="166" bestFit="1" customWidth="1"/>
    <col min="15100" max="15100" width="9.140625" style="166"/>
    <col min="15101" max="15101" width="11.140625" style="166" bestFit="1" customWidth="1"/>
    <col min="15102" max="15102" width="19.85546875" style="166" customWidth="1"/>
    <col min="15103" max="15343" width="9.140625" style="166"/>
    <col min="15344" max="15344" width="5.7109375" style="166" customWidth="1"/>
    <col min="15345" max="15345" width="22" style="166" customWidth="1"/>
    <col min="15346" max="15346" width="12.42578125" style="166" customWidth="1"/>
    <col min="15347" max="15347" width="12.7109375" style="166" customWidth="1"/>
    <col min="15348" max="15349" width="10.7109375" style="166" customWidth="1"/>
    <col min="15350" max="15350" width="13.140625" style="166" customWidth="1"/>
    <col min="15351" max="15351" width="13.7109375" style="166" customWidth="1"/>
    <col min="15352" max="15352" width="9.42578125" style="166" customWidth="1"/>
    <col min="15353" max="15353" width="17.85546875" style="166" customWidth="1"/>
    <col min="15354" max="15354" width="12.140625" style="166" bestFit="1" customWidth="1"/>
    <col min="15355" max="15355" width="11.140625" style="166" bestFit="1" customWidth="1"/>
    <col min="15356" max="15356" width="9.140625" style="166"/>
    <col min="15357" max="15357" width="11.140625" style="166" bestFit="1" customWidth="1"/>
    <col min="15358" max="15358" width="19.85546875" style="166" customWidth="1"/>
    <col min="15359" max="15599" width="9.140625" style="166"/>
    <col min="15600" max="15600" width="5.7109375" style="166" customWidth="1"/>
    <col min="15601" max="15601" width="22" style="166" customWidth="1"/>
    <col min="15602" max="15602" width="12.42578125" style="166" customWidth="1"/>
    <col min="15603" max="15603" width="12.7109375" style="166" customWidth="1"/>
    <col min="15604" max="15605" width="10.7109375" style="166" customWidth="1"/>
    <col min="15606" max="15606" width="13.140625" style="166" customWidth="1"/>
    <col min="15607" max="15607" width="13.7109375" style="166" customWidth="1"/>
    <col min="15608" max="15608" width="9.42578125" style="166" customWidth="1"/>
    <col min="15609" max="15609" width="17.85546875" style="166" customWidth="1"/>
    <col min="15610" max="15610" width="12.140625" style="166" bestFit="1" customWidth="1"/>
    <col min="15611" max="15611" width="11.140625" style="166" bestFit="1" customWidth="1"/>
    <col min="15612" max="15612" width="9.140625" style="166"/>
    <col min="15613" max="15613" width="11.140625" style="166" bestFit="1" customWidth="1"/>
    <col min="15614" max="15614" width="19.85546875" style="166" customWidth="1"/>
    <col min="15615" max="15855" width="9.140625" style="166"/>
    <col min="15856" max="15856" width="5.7109375" style="166" customWidth="1"/>
    <col min="15857" max="15857" width="22" style="166" customWidth="1"/>
    <col min="15858" max="15858" width="12.42578125" style="166" customWidth="1"/>
    <col min="15859" max="15859" width="12.7109375" style="166" customWidth="1"/>
    <col min="15860" max="15861" width="10.7109375" style="166" customWidth="1"/>
    <col min="15862" max="15862" width="13.140625" style="166" customWidth="1"/>
    <col min="15863" max="15863" width="13.7109375" style="166" customWidth="1"/>
    <col min="15864" max="15864" width="9.42578125" style="166" customWidth="1"/>
    <col min="15865" max="15865" width="17.85546875" style="166" customWidth="1"/>
    <col min="15866" max="15866" width="12.140625" style="166" bestFit="1" customWidth="1"/>
    <col min="15867" max="15867" width="11.140625" style="166" bestFit="1" customWidth="1"/>
    <col min="15868" max="15868" width="9.140625" style="166"/>
    <col min="15869" max="15869" width="11.140625" style="166" bestFit="1" customWidth="1"/>
    <col min="15870" max="15870" width="19.85546875" style="166" customWidth="1"/>
    <col min="15871" max="16111" width="9.140625" style="166"/>
    <col min="16112" max="16112" width="5.7109375" style="166" customWidth="1"/>
    <col min="16113" max="16113" width="22" style="166" customWidth="1"/>
    <col min="16114" max="16114" width="12.42578125" style="166" customWidth="1"/>
    <col min="16115" max="16115" width="12.7109375" style="166" customWidth="1"/>
    <col min="16116" max="16117" width="10.7109375" style="166" customWidth="1"/>
    <col min="16118" max="16118" width="13.140625" style="166" customWidth="1"/>
    <col min="16119" max="16119" width="13.7109375" style="166" customWidth="1"/>
    <col min="16120" max="16120" width="9.42578125" style="166" customWidth="1"/>
    <col min="16121" max="16121" width="17.85546875" style="166" customWidth="1"/>
    <col min="16122" max="16122" width="12.140625" style="166" bestFit="1" customWidth="1"/>
    <col min="16123" max="16123" width="11.140625" style="166" bestFit="1" customWidth="1"/>
    <col min="16124" max="16124" width="9.140625" style="166"/>
    <col min="16125" max="16125" width="11.140625" style="166" bestFit="1" customWidth="1"/>
    <col min="16126" max="16126" width="19.85546875" style="166" customWidth="1"/>
    <col min="16127" max="16384" width="9.140625" style="166"/>
  </cols>
  <sheetData>
    <row r="1" spans="1:8" ht="15.75" x14ac:dyDescent="0.25">
      <c r="A1" s="164" t="s">
        <v>140</v>
      </c>
      <c r="B1" s="164"/>
      <c r="C1" s="164"/>
      <c r="D1" s="164"/>
      <c r="E1" s="164"/>
      <c r="F1" s="164"/>
      <c r="G1" s="165"/>
      <c r="H1" s="165"/>
    </row>
    <row r="2" spans="1:8" ht="15.75" x14ac:dyDescent="0.25">
      <c r="A2" s="164"/>
      <c r="B2" s="164"/>
      <c r="C2" s="164"/>
      <c r="D2" s="164"/>
      <c r="E2" s="164"/>
      <c r="F2" s="164"/>
      <c r="G2" s="165"/>
      <c r="H2" s="165"/>
    </row>
    <row r="3" spans="1:8" ht="15.75" x14ac:dyDescent="0.25">
      <c r="A3" s="167" t="s">
        <v>141</v>
      </c>
      <c r="B3" s="167"/>
      <c r="C3" s="167"/>
      <c r="D3" s="167"/>
      <c r="E3" s="167"/>
      <c r="F3" s="167"/>
      <c r="G3" s="168" t="s">
        <v>142</v>
      </c>
      <c r="H3" s="168"/>
    </row>
    <row r="4" spans="1:8" x14ac:dyDescent="0.25">
      <c r="A4" s="169" t="s">
        <v>143</v>
      </c>
      <c r="B4" s="169"/>
      <c r="C4" s="169"/>
      <c r="D4" s="169"/>
      <c r="E4" s="169"/>
      <c r="F4" s="169"/>
      <c r="G4" s="170"/>
      <c r="H4" s="170"/>
    </row>
    <row r="5" spans="1:8" x14ac:dyDescent="0.25">
      <c r="A5" s="170"/>
      <c r="B5" s="170"/>
      <c r="C5" s="170"/>
      <c r="D5" s="170"/>
      <c r="E5" s="170"/>
      <c r="F5" s="170"/>
      <c r="G5" s="170"/>
      <c r="H5" s="170"/>
    </row>
    <row r="6" spans="1:8" ht="15.75" x14ac:dyDescent="0.25">
      <c r="A6" s="171" t="s">
        <v>144</v>
      </c>
      <c r="B6" s="171"/>
      <c r="C6" s="172" t="s">
        <v>145</v>
      </c>
      <c r="D6" s="172"/>
      <c r="E6" s="172"/>
      <c r="F6" s="172"/>
      <c r="G6" s="173"/>
      <c r="H6" s="173"/>
    </row>
    <row r="7" spans="1:8" ht="15.75" x14ac:dyDescent="0.25">
      <c r="A7" s="174" t="s">
        <v>146</v>
      </c>
      <c r="B7" s="174"/>
      <c r="C7" s="172"/>
      <c r="D7" s="172"/>
      <c r="E7" s="172"/>
      <c r="F7" s="172"/>
      <c r="G7" s="173"/>
      <c r="H7" s="173"/>
    </row>
    <row r="8" spans="1:8" x14ac:dyDescent="0.25">
      <c r="A8" s="175"/>
      <c r="B8" s="170"/>
      <c r="C8" s="172"/>
      <c r="D8" s="172"/>
      <c r="E8" s="172"/>
      <c r="F8" s="172"/>
      <c r="G8" s="173"/>
      <c r="H8" s="173"/>
    </row>
    <row r="9" spans="1:8" ht="15.75" x14ac:dyDescent="0.25">
      <c r="A9" s="176"/>
      <c r="B9" s="176"/>
      <c r="C9" s="172"/>
      <c r="D9" s="172"/>
      <c r="E9" s="172"/>
      <c r="F9" s="172"/>
      <c r="G9" s="173"/>
      <c r="H9" s="173"/>
    </row>
    <row r="10" spans="1:8" hidden="1" x14ac:dyDescent="0.25">
      <c r="A10" s="169" t="s">
        <v>147</v>
      </c>
      <c r="B10" s="169"/>
      <c r="C10" s="172"/>
      <c r="D10" s="172"/>
      <c r="E10" s="172"/>
      <c r="F10" s="172"/>
      <c r="G10" s="173"/>
      <c r="H10" s="173"/>
    </row>
    <row r="11" spans="1:8" hidden="1" x14ac:dyDescent="0.25">
      <c r="A11" s="170"/>
      <c r="B11" s="170"/>
      <c r="C11" s="172"/>
      <c r="D11" s="172"/>
      <c r="E11" s="172"/>
      <c r="F11" s="172"/>
      <c r="G11" s="173"/>
      <c r="H11" s="173"/>
    </row>
    <row r="12" spans="1:8" x14ac:dyDescent="0.25">
      <c r="C12" s="177"/>
      <c r="D12" s="177"/>
      <c r="E12" s="177"/>
      <c r="F12" s="177"/>
      <c r="G12" s="178"/>
      <c r="H12" s="178"/>
    </row>
    <row r="13" spans="1:8" x14ac:dyDescent="0.25">
      <c r="A13" s="179" t="s">
        <v>148</v>
      </c>
      <c r="B13" s="179" t="s">
        <v>149</v>
      </c>
      <c r="C13" s="179" t="s">
        <v>150</v>
      </c>
      <c r="D13" s="179" t="s">
        <v>151</v>
      </c>
      <c r="E13" s="179"/>
      <c r="F13" s="180"/>
      <c r="G13" s="181" t="s">
        <v>152</v>
      </c>
      <c r="H13" s="182"/>
    </row>
    <row r="14" spans="1:8" ht="38.25" x14ac:dyDescent="0.25">
      <c r="A14" s="179"/>
      <c r="B14" s="179"/>
      <c r="C14" s="179"/>
      <c r="D14" s="183" t="s">
        <v>153</v>
      </c>
      <c r="E14" s="184" t="s">
        <v>154</v>
      </c>
      <c r="F14" s="185" t="s">
        <v>155</v>
      </c>
      <c r="G14" s="186"/>
      <c r="H14" s="187"/>
    </row>
    <row r="15" spans="1:8" ht="25.5" x14ac:dyDescent="0.25">
      <c r="A15" s="188">
        <v>1</v>
      </c>
      <c r="B15" s="189" t="s">
        <v>156</v>
      </c>
      <c r="C15" s="190" t="s">
        <v>157</v>
      </c>
      <c r="D15" s="188">
        <v>94.5</v>
      </c>
      <c r="E15" s="191">
        <v>5000</v>
      </c>
      <c r="F15" s="192">
        <f>TRUNC(D15*E15,0)</f>
        <v>472500</v>
      </c>
      <c r="G15" s="193"/>
      <c r="H15" s="194"/>
    </row>
    <row r="16" spans="1:8" ht="25.5" x14ac:dyDescent="0.25">
      <c r="A16" s="188">
        <v>2</v>
      </c>
      <c r="B16" s="195" t="s">
        <v>158</v>
      </c>
      <c r="C16" s="184" t="s">
        <v>157</v>
      </c>
      <c r="D16" s="183">
        <v>94.5</v>
      </c>
      <c r="E16" s="196">
        <v>2500</v>
      </c>
      <c r="F16" s="197">
        <f t="shared" ref="F16:F28" si="0">TRUNC(D16*E16,0)</f>
        <v>236250</v>
      </c>
      <c r="G16" s="198"/>
      <c r="H16" s="199"/>
    </row>
    <row r="17" spans="1:8" ht="25.5" x14ac:dyDescent="0.25">
      <c r="A17" s="188">
        <v>3</v>
      </c>
      <c r="B17" s="200" t="s">
        <v>159</v>
      </c>
      <c r="C17" s="184" t="s">
        <v>160</v>
      </c>
      <c r="D17" s="183">
        <v>40.984099999999998</v>
      </c>
      <c r="E17" s="196">
        <v>1500</v>
      </c>
      <c r="F17" s="197">
        <f t="shared" si="0"/>
        <v>61476</v>
      </c>
      <c r="G17" s="198"/>
      <c r="H17" s="199"/>
    </row>
    <row r="18" spans="1:8" ht="38.25" x14ac:dyDescent="0.25">
      <c r="A18" s="188">
        <v>4</v>
      </c>
      <c r="B18" s="201" t="s">
        <v>161</v>
      </c>
      <c r="C18" s="202" t="s">
        <v>162</v>
      </c>
      <c r="D18" s="183">
        <v>40.984099999999998</v>
      </c>
      <c r="E18" s="196">
        <v>1500</v>
      </c>
      <c r="F18" s="197">
        <f t="shared" si="0"/>
        <v>61476</v>
      </c>
      <c r="G18" s="198"/>
      <c r="H18" s="199"/>
    </row>
    <row r="19" spans="1:8" ht="25.5" x14ac:dyDescent="0.25">
      <c r="A19" s="188">
        <v>5</v>
      </c>
      <c r="B19" s="203" t="s">
        <v>163</v>
      </c>
      <c r="C19" s="202" t="s">
        <v>162</v>
      </c>
      <c r="D19" s="183">
        <v>40.984099999999998</v>
      </c>
      <c r="E19" s="196">
        <v>26000</v>
      </c>
      <c r="F19" s="197">
        <f t="shared" si="0"/>
        <v>1065586</v>
      </c>
      <c r="G19" s="198"/>
      <c r="H19" s="199"/>
    </row>
    <row r="20" spans="1:8" ht="25.5" x14ac:dyDescent="0.25">
      <c r="A20" s="188">
        <v>6</v>
      </c>
      <c r="B20" s="195" t="s">
        <v>164</v>
      </c>
      <c r="C20" s="184" t="s">
        <v>165</v>
      </c>
      <c r="D20" s="204">
        <v>227.8</v>
      </c>
      <c r="E20" s="196">
        <v>187.6</v>
      </c>
      <c r="F20" s="197">
        <f t="shared" si="0"/>
        <v>42735</v>
      </c>
      <c r="G20" s="198"/>
      <c r="H20" s="199"/>
    </row>
    <row r="21" spans="1:8" ht="25.5" x14ac:dyDescent="0.25">
      <c r="A21" s="188">
        <v>7</v>
      </c>
      <c r="B21" s="195" t="s">
        <v>166</v>
      </c>
      <c r="C21" s="184" t="s">
        <v>157</v>
      </c>
      <c r="D21" s="204">
        <v>94.5</v>
      </c>
      <c r="E21" s="196">
        <v>5400</v>
      </c>
      <c r="F21" s="197">
        <f t="shared" si="0"/>
        <v>510300</v>
      </c>
      <c r="G21" s="198"/>
      <c r="H21" s="199"/>
    </row>
    <row r="22" spans="1:8" ht="25.5" x14ac:dyDescent="0.25">
      <c r="A22" s="188">
        <v>8</v>
      </c>
      <c r="B22" s="203" t="s">
        <v>97</v>
      </c>
      <c r="C22" s="184" t="s">
        <v>157</v>
      </c>
      <c r="D22" s="204">
        <v>94.5</v>
      </c>
      <c r="E22" s="196">
        <v>3000</v>
      </c>
      <c r="F22" s="197">
        <f>TRUNC(D22*E22,0)</f>
        <v>283500</v>
      </c>
      <c r="G22" s="198"/>
      <c r="H22" s="199"/>
    </row>
    <row r="23" spans="1:8" ht="25.5" x14ac:dyDescent="0.25">
      <c r="A23" s="188">
        <v>9</v>
      </c>
      <c r="B23" s="203" t="s">
        <v>167</v>
      </c>
      <c r="C23" s="184" t="s">
        <v>157</v>
      </c>
      <c r="D23" s="204">
        <v>94.5</v>
      </c>
      <c r="E23" s="196">
        <v>2500</v>
      </c>
      <c r="F23" s="197">
        <f t="shared" si="0"/>
        <v>236250</v>
      </c>
      <c r="G23" s="198"/>
      <c r="H23" s="199"/>
    </row>
    <row r="24" spans="1:8" x14ac:dyDescent="0.25">
      <c r="A24" s="188">
        <v>10</v>
      </c>
      <c r="B24" s="203" t="s">
        <v>99</v>
      </c>
      <c r="C24" s="184" t="s">
        <v>160</v>
      </c>
      <c r="D24" s="204">
        <v>40.984099999999998</v>
      </c>
      <c r="E24" s="196">
        <v>3000</v>
      </c>
      <c r="F24" s="197">
        <f t="shared" si="0"/>
        <v>122952</v>
      </c>
      <c r="G24" s="198"/>
      <c r="H24" s="199"/>
    </row>
    <row r="25" spans="1:8" ht="25.5" x14ac:dyDescent="0.25">
      <c r="A25" s="188">
        <v>15</v>
      </c>
      <c r="B25" s="195" t="s">
        <v>168</v>
      </c>
      <c r="C25" s="184" t="s">
        <v>165</v>
      </c>
      <c r="D25" s="204">
        <v>170.85</v>
      </c>
      <c r="E25" s="196">
        <v>300</v>
      </c>
      <c r="F25" s="197">
        <f t="shared" si="0"/>
        <v>51255</v>
      </c>
      <c r="G25" s="198"/>
      <c r="H25" s="199"/>
    </row>
    <row r="26" spans="1:8" ht="38.25" x14ac:dyDescent="0.25">
      <c r="A26" s="188">
        <v>16</v>
      </c>
      <c r="B26" s="195" t="s">
        <v>169</v>
      </c>
      <c r="C26" s="184" t="s">
        <v>160</v>
      </c>
      <c r="D26" s="204">
        <v>40.984099999999998</v>
      </c>
      <c r="E26" s="196">
        <v>500</v>
      </c>
      <c r="F26" s="197">
        <f>TRUNC(D26*E26,0)*6</f>
        <v>122952</v>
      </c>
      <c r="G26" s="198"/>
      <c r="H26" s="199"/>
    </row>
    <row r="27" spans="1:8" ht="25.5" x14ac:dyDescent="0.25">
      <c r="A27" s="188">
        <v>17</v>
      </c>
      <c r="B27" s="195" t="s">
        <v>170</v>
      </c>
      <c r="C27" s="184" t="s">
        <v>165</v>
      </c>
      <c r="D27" s="204">
        <v>113.9</v>
      </c>
      <c r="E27" s="196">
        <v>300</v>
      </c>
      <c r="F27" s="197">
        <f t="shared" si="0"/>
        <v>34170</v>
      </c>
      <c r="G27" s="198"/>
      <c r="H27" s="199"/>
    </row>
    <row r="28" spans="1:8" ht="38.25" x14ac:dyDescent="0.25">
      <c r="A28" s="188">
        <v>18</v>
      </c>
      <c r="B28" s="195" t="s">
        <v>171</v>
      </c>
      <c r="C28" s="184" t="s">
        <v>160</v>
      </c>
      <c r="D28" s="204">
        <v>40.984099999999998</v>
      </c>
      <c r="E28" s="196">
        <v>500</v>
      </c>
      <c r="F28" s="197">
        <f t="shared" si="0"/>
        <v>20492</v>
      </c>
      <c r="G28" s="198"/>
      <c r="H28" s="199"/>
    </row>
    <row r="29" spans="1:8" ht="38.25" x14ac:dyDescent="0.25">
      <c r="A29" s="188">
        <v>19</v>
      </c>
      <c r="B29" s="195" t="s">
        <v>172</v>
      </c>
      <c r="C29" s="184" t="s">
        <v>160</v>
      </c>
      <c r="D29" s="204">
        <v>40.984099999999998</v>
      </c>
      <c r="E29" s="196">
        <v>1500</v>
      </c>
      <c r="F29" s="197">
        <f>TRUNC(D29*E29,0)</f>
        <v>61476</v>
      </c>
      <c r="G29" s="198"/>
      <c r="H29" s="199"/>
    </row>
    <row r="30" spans="1:8" x14ac:dyDescent="0.25">
      <c r="A30" s="188">
        <v>20</v>
      </c>
      <c r="B30" s="203" t="s">
        <v>173</v>
      </c>
      <c r="C30" s="184" t="s">
        <v>160</v>
      </c>
      <c r="D30" s="204">
        <v>40.984099999999998</v>
      </c>
      <c r="E30" s="196">
        <v>70065</v>
      </c>
      <c r="F30" s="197">
        <f>D30*E30</f>
        <v>2871550.9664999996</v>
      </c>
      <c r="G30" s="198"/>
      <c r="H30" s="199"/>
    </row>
    <row r="31" spans="1:8" x14ac:dyDescent="0.25">
      <c r="A31" s="188">
        <v>21</v>
      </c>
      <c r="B31" s="195" t="s">
        <v>174</v>
      </c>
      <c r="C31" s="184" t="s">
        <v>160</v>
      </c>
      <c r="D31" s="204">
        <v>40.984099999999998</v>
      </c>
      <c r="E31" s="196">
        <v>24085</v>
      </c>
      <c r="F31" s="197">
        <f>D31*E31</f>
        <v>987102.04849999992</v>
      </c>
      <c r="G31" s="198"/>
      <c r="H31" s="199"/>
    </row>
    <row r="32" spans="1:8" x14ac:dyDescent="0.25">
      <c r="A32" s="188"/>
      <c r="B32" s="205" t="s">
        <v>139</v>
      </c>
      <c r="C32" s="188" t="s">
        <v>175</v>
      </c>
      <c r="D32" s="188" t="s">
        <v>175</v>
      </c>
      <c r="E32" s="191" t="s">
        <v>175</v>
      </c>
      <c r="F32" s="192">
        <f>SUM(F15:F31)</f>
        <v>7242023.0149999987</v>
      </c>
      <c r="G32" s="193"/>
      <c r="H32" s="194"/>
    </row>
    <row r="33" spans="1:8" x14ac:dyDescent="0.25">
      <c r="A33" s="182"/>
      <c r="B33" s="206"/>
      <c r="C33" s="182"/>
      <c r="D33" s="182"/>
      <c r="E33" s="182"/>
      <c r="F33" s="207">
        <f>F32/40.9841</f>
        <v>176703.23405906191</v>
      </c>
      <c r="G33" s="208" t="s">
        <v>129</v>
      </c>
      <c r="H33" s="209"/>
    </row>
    <row r="34" spans="1:8" ht="15.75" x14ac:dyDescent="0.25">
      <c r="A34" s="210"/>
      <c r="B34" s="210"/>
      <c r="C34" s="210"/>
      <c r="D34" s="210"/>
      <c r="E34" s="210"/>
      <c r="F34" s="210"/>
      <c r="G34" s="211"/>
      <c r="H34" s="212"/>
    </row>
    <row r="35" spans="1:8" ht="15.75" x14ac:dyDescent="0.25">
      <c r="A35" s="213"/>
      <c r="B35" s="214"/>
      <c r="C35" s="213"/>
      <c r="D35" s="213"/>
      <c r="E35" s="213"/>
      <c r="F35" s="213"/>
      <c r="G35" s="213"/>
      <c r="H35" s="213"/>
    </row>
    <row r="36" spans="1:8" ht="15.75" x14ac:dyDescent="0.25">
      <c r="A36" s="215"/>
      <c r="B36" s="215"/>
      <c r="C36" s="215"/>
      <c r="D36" s="215"/>
      <c r="E36" s="215"/>
      <c r="F36" s="215"/>
      <c r="G36" s="216"/>
      <c r="H36" s="216"/>
    </row>
    <row r="37" spans="1:8" ht="15.75" x14ac:dyDescent="0.25">
      <c r="A37" s="213"/>
      <c r="B37" s="217"/>
      <c r="C37" s="217"/>
      <c r="D37" s="218"/>
      <c r="E37" s="218"/>
      <c r="F37" s="213"/>
      <c r="G37" s="213"/>
      <c r="H37" s="213"/>
    </row>
    <row r="38" spans="1:8" ht="15.75" x14ac:dyDescent="0.25">
      <c r="A38" s="215"/>
      <c r="B38" s="215"/>
      <c r="C38" s="215"/>
      <c r="D38" s="215"/>
      <c r="E38" s="215"/>
      <c r="F38" s="215"/>
      <c r="G38" s="216"/>
      <c r="H38" s="216"/>
    </row>
    <row r="39" spans="1:8" ht="18.75" x14ac:dyDescent="0.3">
      <c r="A39" s="182"/>
      <c r="B39" s="219"/>
      <c r="C39" s="219"/>
      <c r="D39" s="220"/>
      <c r="E39" s="220"/>
      <c r="F39" s="182"/>
      <c r="G39" s="182"/>
      <c r="H39" s="182"/>
    </row>
    <row r="40" spans="1:8" ht="18.75" x14ac:dyDescent="0.3">
      <c r="A40" s="182"/>
      <c r="B40" s="219"/>
      <c r="C40" s="219"/>
      <c r="D40" s="220"/>
      <c r="E40" s="220"/>
      <c r="F40" s="182"/>
      <c r="G40" s="182"/>
      <c r="H40" s="182"/>
    </row>
    <row r="41" spans="1:8" ht="18.75" x14ac:dyDescent="0.3">
      <c r="A41" s="182"/>
      <c r="B41" s="219"/>
      <c r="C41" s="219"/>
      <c r="D41" s="220"/>
      <c r="E41" s="220"/>
      <c r="F41" s="182"/>
      <c r="G41" s="182"/>
      <c r="H41" s="182"/>
    </row>
    <row r="42" spans="1:8" x14ac:dyDescent="0.25">
      <c r="A42" s="182"/>
      <c r="B42" s="182"/>
      <c r="C42" s="182"/>
      <c r="D42" s="182"/>
      <c r="E42" s="182"/>
      <c r="F42" s="182"/>
      <c r="G42" s="182"/>
      <c r="H42" s="182"/>
    </row>
    <row r="43" spans="1:8" x14ac:dyDescent="0.25">
      <c r="A43" s="182"/>
      <c r="B43" s="182"/>
      <c r="C43" s="182"/>
      <c r="D43" s="182"/>
      <c r="E43" s="182"/>
      <c r="F43" s="182"/>
      <c r="G43" s="182"/>
      <c r="H43" s="182"/>
    </row>
  </sheetData>
  <mergeCells count="18">
    <mergeCell ref="A34:F34"/>
    <mergeCell ref="A36:F36"/>
    <mergeCell ref="A38:F38"/>
    <mergeCell ref="C12:F12"/>
    <mergeCell ref="A13:A14"/>
    <mergeCell ref="B13:B14"/>
    <mergeCell ref="C13:C14"/>
    <mergeCell ref="D13:F13"/>
    <mergeCell ref="G13:G14"/>
    <mergeCell ref="A1:F1"/>
    <mergeCell ref="A2:F2"/>
    <mergeCell ref="A3:F3"/>
    <mergeCell ref="A4:F4"/>
    <mergeCell ref="A6:B6"/>
    <mergeCell ref="C6:F11"/>
    <mergeCell ref="A7:B7"/>
    <mergeCell ref="A9:B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Посадка саженцев </vt:lpstr>
      <vt:lpstr>Установка шпалеры</vt:lpstr>
      <vt:lpstr>Уходные работы</vt:lpstr>
      <vt:lpstr>Средства защиты растений</vt:lpstr>
      <vt:lpstr>Уходные Работы 40Га_Проверка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Babenko</dc:creator>
  <cp:lastModifiedBy>Roman Babenko</cp:lastModifiedBy>
  <dcterms:created xsi:type="dcterms:W3CDTF">2026-06-09T15:53:26Z</dcterms:created>
  <dcterms:modified xsi:type="dcterms:W3CDTF">2026-06-09T15:54:54Z</dcterms:modified>
</cp:coreProperties>
</file>